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comgroup-my.sharepoint.com/personal/b125650_coe_ntt_com/Documents/SecuredPC/Downloads/"/>
    </mc:Choice>
  </mc:AlternateContent>
  <xr:revisionPtr revIDLastSave="275" documentId="8_{655C533B-7E04-449A-BD78-F8C1EF9E8345}" xr6:coauthVersionLast="47" xr6:coauthVersionMax="47" xr10:uidLastSave="{5B53FFE9-A5FB-49EF-939A-4FAB9E32E5F9}"/>
  <bookViews>
    <workbookView xWindow="28680" yWindow="-120" windowWidth="38640" windowHeight="21120" activeTab="2" xr2:uid="{6D71F64F-C8ED-4B14-8F6D-15FACEE29435}"/>
  </bookViews>
  <sheets>
    <sheet name="3月25日工事手順書" sheetId="14" r:id="rId1"/>
    <sheet name="NW事前事後ログ取得" sheetId="9" r:id="rId2"/>
    <sheet name="FW作業手順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3" l="1"/>
  <c r="A8" i="13"/>
  <c r="A11" i="13"/>
  <c r="A8" i="14" l="1"/>
  <c r="A7" i="14" l="1"/>
  <c r="A12" i="14" l="1"/>
  <c r="A16" i="14"/>
  <c r="A15" i="14"/>
  <c r="A14" i="14"/>
  <c r="A13" i="14"/>
  <c r="A11" i="14"/>
  <c r="A18" i="14"/>
  <c r="A17" i="14"/>
  <c r="A10" i="14"/>
  <c r="A22" i="14"/>
  <c r="A21" i="14"/>
  <c r="A20" i="14"/>
  <c r="A19" i="14"/>
  <c r="A9" i="14"/>
  <c r="A6" i="14"/>
  <c r="A5" i="14"/>
  <c r="A4" i="14"/>
  <c r="A3" i="14"/>
  <c r="A10" i="13"/>
  <c r="A7" i="13"/>
  <c r="A6" i="13"/>
  <c r="A5" i="13"/>
  <c r="A4" i="13"/>
</calcChain>
</file>

<file path=xl/sharedStrings.xml><?xml version="1.0" encoding="utf-8"?>
<sst xmlns="http://schemas.openxmlformats.org/spreadsheetml/2006/main" count="218" uniqueCount="136">
  <si>
    <t>対象機器</t>
    <rPh sb="0" eb="2">
      <t>タイショウ</t>
    </rPh>
    <rPh sb="2" eb="4">
      <t>キキ</t>
    </rPh>
    <phoneticPr fontId="1"/>
  </si>
  <si>
    <t>CEN-000-FG40_001</t>
    <phoneticPr fontId="1"/>
  </si>
  <si>
    <t>CEN-000-9200_001</t>
    <phoneticPr fontId="1"/>
  </si>
  <si>
    <t>CEN-000-9200_002</t>
    <phoneticPr fontId="1"/>
  </si>
  <si>
    <t>show interfaces status</t>
  </si>
  <si>
    <t>CEN-000-FG40_002</t>
  </si>
  <si>
    <t>大項目</t>
    <rPh sb="0" eb="3">
      <t>ダイコウモク</t>
    </rPh>
    <phoneticPr fontId="1"/>
  </si>
  <si>
    <t>小項目</t>
    <rPh sb="0" eb="3">
      <t>ショウコウモク</t>
    </rPh>
    <phoneticPr fontId="1"/>
  </si>
  <si>
    <t>diagnose sys ntp status</t>
  </si>
  <si>
    <t>get system performance status</t>
  </si>
  <si>
    <t>show</t>
  </si>
  <si>
    <t>項番</t>
    <rPh sb="0" eb="2">
      <t>コウバン</t>
    </rPh>
    <phoneticPr fontId="1"/>
  </si>
  <si>
    <t>工程</t>
    <rPh sb="0" eb="2">
      <t>コウテイ</t>
    </rPh>
    <phoneticPr fontId="1"/>
  </si>
  <si>
    <t>項目</t>
    <rPh sb="0" eb="2">
      <t>コウモク</t>
    </rPh>
    <phoneticPr fontId="1"/>
  </si>
  <si>
    <t>確認内容</t>
    <rPh sb="0" eb="2">
      <t>カクニン</t>
    </rPh>
    <rPh sb="2" eb="4">
      <t>ナイヨウ</t>
    </rPh>
    <phoneticPr fontId="1"/>
  </si>
  <si>
    <t>チェック</t>
    <phoneticPr fontId="1"/>
  </si>
  <si>
    <t>予定時刻</t>
    <rPh sb="0" eb="2">
      <t>ヨテイ</t>
    </rPh>
    <rPh sb="2" eb="4">
      <t>ジコク</t>
    </rPh>
    <phoneticPr fontId="1"/>
  </si>
  <si>
    <t>実施時刻</t>
    <rPh sb="0" eb="2">
      <t>ジッシ</t>
    </rPh>
    <rPh sb="2" eb="4">
      <t>ジコク</t>
    </rPh>
    <phoneticPr fontId="1"/>
  </si>
  <si>
    <t>入館</t>
    <rPh sb="0" eb="2">
      <t>ニュウカン</t>
    </rPh>
    <phoneticPr fontId="1"/>
  </si>
  <si>
    <t>-</t>
    <phoneticPr fontId="1"/>
  </si>
  <si>
    <t>担当者</t>
    <rPh sb="0" eb="3">
      <t>タントウシャ</t>
    </rPh>
    <phoneticPr fontId="1"/>
  </si>
  <si>
    <t>作業内容意識合せ</t>
    <rPh sb="0" eb="2">
      <t>サギョウ</t>
    </rPh>
    <rPh sb="2" eb="4">
      <t>ナイヨウ</t>
    </rPh>
    <rPh sb="4" eb="6">
      <t>イシキ</t>
    </rPh>
    <rPh sb="6" eb="7">
      <t>アワ</t>
    </rPh>
    <phoneticPr fontId="1"/>
  </si>
  <si>
    <t>作業内容/役割分担を確認する</t>
    <rPh sb="0" eb="2">
      <t>サギョウ</t>
    </rPh>
    <rPh sb="2" eb="4">
      <t>ナイヨウ</t>
    </rPh>
    <rPh sb="5" eb="7">
      <t>ヤクワリ</t>
    </rPh>
    <rPh sb="7" eb="9">
      <t>ブンタン</t>
    </rPh>
    <rPh sb="10" eb="12">
      <t>カクニン</t>
    </rPh>
    <phoneticPr fontId="1"/>
  </si>
  <si>
    <t>行</t>
    <rPh sb="0" eb="1">
      <t>ギョウ</t>
    </rPh>
    <phoneticPr fontId="1"/>
  </si>
  <si>
    <t>FW設定変更</t>
    <rPh sb="2" eb="4">
      <t>セッテイ</t>
    </rPh>
    <rPh sb="4" eb="6">
      <t>ヘンコウ</t>
    </rPh>
    <phoneticPr fontId="1"/>
  </si>
  <si>
    <t>NW事前ログ取得</t>
    <rPh sb="2" eb="4">
      <t>ジゼン</t>
    </rPh>
    <rPh sb="6" eb="8">
      <t>シュトク</t>
    </rPh>
    <phoneticPr fontId="1"/>
  </si>
  <si>
    <t>NW事後ログ取得</t>
    <rPh sb="2" eb="4">
      <t>ジゴ</t>
    </rPh>
    <rPh sb="6" eb="8">
      <t>シュトク</t>
    </rPh>
    <phoneticPr fontId="1"/>
  </si>
  <si>
    <t>事後作業/退館</t>
    <rPh sb="0" eb="2">
      <t>ジゴ</t>
    </rPh>
    <rPh sb="2" eb="4">
      <t>サギョウ</t>
    </rPh>
    <rPh sb="5" eb="7">
      <t>タイカン</t>
    </rPh>
    <phoneticPr fontId="1"/>
  </si>
  <si>
    <t>片付け</t>
    <rPh sb="0" eb="2">
      <t>カタヅ</t>
    </rPh>
    <phoneticPr fontId="1"/>
  </si>
  <si>
    <t>退館</t>
    <rPh sb="0" eb="2">
      <t>タイカン</t>
    </rPh>
    <phoneticPr fontId="1"/>
  </si>
  <si>
    <t>作業部材や梱包材を片付ける</t>
    <rPh sb="0" eb="2">
      <t>サギョウ</t>
    </rPh>
    <rPh sb="2" eb="4">
      <t>ブザイ</t>
    </rPh>
    <rPh sb="5" eb="7">
      <t>コンポウ</t>
    </rPh>
    <rPh sb="7" eb="8">
      <t>ザイ</t>
    </rPh>
    <rPh sb="9" eb="11">
      <t>カタヅ</t>
    </rPh>
    <phoneticPr fontId="1"/>
  </si>
  <si>
    <t>ラックのまわりに作業の残置物やゴミが無いこと</t>
    <rPh sb="8" eb="10">
      <t>サギョウ</t>
    </rPh>
    <rPh sb="11" eb="14">
      <t>ザンチブツ</t>
    </rPh>
    <rPh sb="18" eb="19">
      <t>ナ</t>
    </rPh>
    <phoneticPr fontId="1"/>
  </si>
  <si>
    <t>作業内容確認、意識合せ</t>
    <rPh sb="0" eb="2">
      <t>サギョウ</t>
    </rPh>
    <rPh sb="2" eb="4">
      <t>ナイヨウ</t>
    </rPh>
    <rPh sb="4" eb="6">
      <t>カクニン</t>
    </rPh>
    <rPh sb="7" eb="9">
      <t>イシキ</t>
    </rPh>
    <rPh sb="9" eb="10">
      <t>アワ</t>
    </rPh>
    <phoneticPr fontId="1"/>
  </si>
  <si>
    <t>「FW作業手順」シートの手順を実施</t>
    <rPh sb="3" eb="5">
      <t>サギョウ</t>
    </rPh>
    <rPh sb="5" eb="7">
      <t>テジュン</t>
    </rPh>
    <rPh sb="12" eb="14">
      <t>テジュン</t>
    </rPh>
    <rPh sb="15" eb="17">
      <t>ジッシ</t>
    </rPh>
    <phoneticPr fontId="1"/>
  </si>
  <si>
    <t>FW作業手順</t>
  </si>
  <si>
    <t>「NW事前事後ログ取得」シートのログを取得</t>
    <rPh sb="3" eb="5">
      <t>ジゼン</t>
    </rPh>
    <rPh sb="5" eb="7">
      <t>ジゴ</t>
    </rPh>
    <rPh sb="9" eb="11">
      <t>シュトク</t>
    </rPh>
    <rPh sb="19" eb="21">
      <t>シュトク</t>
    </rPh>
    <phoneticPr fontId="1"/>
  </si>
  <si>
    <t>入館/作業準備/事前作業</t>
    <rPh sb="0" eb="2">
      <t>ニュウカン</t>
    </rPh>
    <rPh sb="3" eb="5">
      <t>サギョウ</t>
    </rPh>
    <rPh sb="5" eb="7">
      <t>ジュンビ</t>
    </rPh>
    <rPh sb="8" eb="10">
      <t>ジゼン</t>
    </rPh>
    <rPh sb="10" eb="12">
      <t>サギョウ</t>
    </rPh>
    <phoneticPr fontId="1"/>
  </si>
  <si>
    <t>作業結果を確認し、残課題があれば内容の意識合せを行う</t>
    <rPh sb="0" eb="2">
      <t>サギョウ</t>
    </rPh>
    <rPh sb="2" eb="4">
      <t>ケッカ</t>
    </rPh>
    <rPh sb="5" eb="7">
      <t>カクニン</t>
    </rPh>
    <rPh sb="9" eb="10">
      <t>ザン</t>
    </rPh>
    <rPh sb="10" eb="12">
      <t>カダイ</t>
    </rPh>
    <rPh sb="16" eb="18">
      <t>ナイヨウ</t>
    </rPh>
    <rPh sb="19" eb="21">
      <t>イシキ</t>
    </rPh>
    <rPh sb="21" eb="22">
      <t>アワ</t>
    </rPh>
    <rPh sb="24" eb="25">
      <t>オコナ</t>
    </rPh>
    <phoneticPr fontId="1"/>
  </si>
  <si>
    <t>FortiCloud設定</t>
    <rPh sb="10" eb="12">
      <t>セッテイ</t>
    </rPh>
    <phoneticPr fontId="1"/>
  </si>
  <si>
    <t>本部校FWにFortiCloudの設定を行いログ送付を行う</t>
    <rPh sb="0" eb="2">
      <t>ホンブ</t>
    </rPh>
    <rPh sb="2" eb="3">
      <t>コウ</t>
    </rPh>
    <rPh sb="17" eb="19">
      <t>セッテイ</t>
    </rPh>
    <rPh sb="20" eb="21">
      <t>オコナ</t>
    </rPh>
    <rPh sb="24" eb="26">
      <t>ソウフ</t>
    </rPh>
    <rPh sb="27" eb="28">
      <t>オコナ</t>
    </rPh>
    <phoneticPr fontId="1"/>
  </si>
  <si>
    <t>FortiCloudでFWログが確認できること</t>
    <rPh sb="16" eb="18">
      <t>カクニン</t>
    </rPh>
    <phoneticPr fontId="1"/>
  </si>
  <si>
    <t>実施内容</t>
    <rPh sb="0" eb="2">
      <t>ジッシ</t>
    </rPh>
    <rPh sb="2" eb="4">
      <t>ナイヨウ</t>
    </rPh>
    <phoneticPr fontId="1"/>
  </si>
  <si>
    <t>NW事前事後ログ取得</t>
    <phoneticPr fontId="1"/>
  </si>
  <si>
    <t>コマンド</t>
    <phoneticPr fontId="1"/>
  </si>
  <si>
    <t>show clock</t>
  </si>
  <si>
    <t>terminal length 0</t>
  </si>
  <si>
    <t>terminal exec prompt timestamp</t>
  </si>
  <si>
    <t>show version</t>
  </si>
  <si>
    <t>show license all</t>
  </si>
  <si>
    <t>show license udi</t>
  </si>
  <si>
    <t>show processes cpu</t>
  </si>
  <si>
    <t>show processes cpu history</t>
  </si>
  <si>
    <t>show processes memory</t>
  </si>
  <si>
    <t>show platform software status control-processor</t>
  </si>
  <si>
    <t>show platform</t>
  </si>
  <si>
    <t>show platform diag</t>
  </si>
  <si>
    <t>show inventory</t>
  </si>
  <si>
    <t>show environment all</t>
  </si>
  <si>
    <t>show post</t>
  </si>
  <si>
    <t>dir all-filesystems</t>
  </si>
  <si>
    <t>show ip interface brief</t>
  </si>
  <si>
    <t>show interfaces description</t>
  </si>
  <si>
    <t>show interfaces</t>
  </si>
  <si>
    <t>show interfaces counters</t>
  </si>
  <si>
    <t>show interfaces counters errors</t>
  </si>
  <si>
    <t>show etherchannel summary</t>
  </si>
  <si>
    <t>show etherchannel port-channel</t>
  </si>
  <si>
    <t>show etherchannel load-balance</t>
  </si>
  <si>
    <t>show etherchannel detail</t>
  </si>
  <si>
    <t>show interfaces rep</t>
  </si>
  <si>
    <t>show interfaces rep detail</t>
  </si>
  <si>
    <t>show vlan</t>
  </si>
  <si>
    <t>show spanning-tree</t>
  </si>
  <si>
    <t>show vtp status</t>
  </si>
  <si>
    <t>show ip interface</t>
  </si>
  <si>
    <t>show ip access-lists</t>
  </si>
  <si>
    <t>show ip protocols</t>
  </si>
  <si>
    <t>show ip route</t>
  </si>
  <si>
    <t>show ntp associations</t>
  </si>
  <si>
    <t>show ntp status</t>
  </si>
  <si>
    <t>show archive config differences</t>
  </si>
  <si>
    <t>show running-config</t>
  </si>
  <si>
    <t>show startup-config</t>
  </si>
  <si>
    <t>show logging</t>
  </si>
  <si>
    <t>get system status</t>
  </si>
  <si>
    <t>get system arp</t>
  </si>
  <si>
    <t>get router info vrrp</t>
  </si>
  <si>
    <t>diagnose sys link-monitor status all</t>
  </si>
  <si>
    <t>get system interface</t>
  </si>
  <si>
    <t>get router info routing-table all</t>
  </si>
  <si>
    <t>diagnose debug report</t>
  </si>
  <si>
    <t>diagnose hardware deviceinfo nic wan</t>
  </si>
  <si>
    <t>diagnose hardware deviceinfo nic lan1</t>
  </si>
  <si>
    <t>diagnose hardware deviceinfo nic lan2</t>
  </si>
  <si>
    <t>diagnose hardware deviceinfo nic lan3</t>
  </si>
  <si>
    <t>diagnose ip router command show show int</t>
  </si>
  <si>
    <t>show full-configuration</t>
  </si>
  <si>
    <t>作業PC接続</t>
    <rPh sb="0" eb="2">
      <t>サギョウ</t>
    </rPh>
    <rPh sb="4" eb="6">
      <t>セツゾク</t>
    </rPh>
    <phoneticPr fontId="1"/>
  </si>
  <si>
    <t>1Fフロアに集合し、サーバ室へ移動</t>
    <rPh sb="6" eb="8">
      <t>シュウゴウ</t>
    </rPh>
    <rPh sb="13" eb="14">
      <t>シツ</t>
    </rPh>
    <rPh sb="15" eb="17">
      <t>イドウ</t>
    </rPh>
    <phoneticPr fontId="1"/>
  </si>
  <si>
    <t>コマンド・実施内容</t>
    <rPh sb="5" eb="7">
      <t>ジッシ</t>
    </rPh>
    <rPh sb="7" eb="9">
      <t>ナイヨウ</t>
    </rPh>
    <phoneticPr fontId="1"/>
  </si>
  <si>
    <t>3/25事前ログ</t>
    <rPh sb="4" eb="6">
      <t>ジゼン</t>
    </rPh>
    <phoneticPr fontId="1"/>
  </si>
  <si>
    <t>3/25事後ログ</t>
    <rPh sb="4" eb="6">
      <t>ジゴ</t>
    </rPh>
    <phoneticPr fontId="1"/>
  </si>
  <si>
    <t>機器撤去</t>
    <rPh sb="0" eb="2">
      <t>キキ</t>
    </rPh>
    <rPh sb="2" eb="4">
      <t>テッキョ</t>
    </rPh>
    <phoneticPr fontId="1"/>
  </si>
  <si>
    <t>撤去前ラック写真撮影</t>
    <rPh sb="0" eb="2">
      <t>テッキョ</t>
    </rPh>
    <rPh sb="2" eb="3">
      <t>マエ</t>
    </rPh>
    <rPh sb="6" eb="8">
      <t>シャシン</t>
    </rPh>
    <rPh sb="8" eb="10">
      <t>サツエイ</t>
    </rPh>
    <phoneticPr fontId="1"/>
  </si>
  <si>
    <t>ケーブル撤去</t>
    <rPh sb="4" eb="6">
      <t>テッキョ</t>
    </rPh>
    <phoneticPr fontId="1"/>
  </si>
  <si>
    <t>撤去後ラック写真撮影</t>
    <rPh sb="0" eb="2">
      <t>テッキョ</t>
    </rPh>
    <rPh sb="2" eb="3">
      <t>ゴ</t>
    </rPh>
    <rPh sb="6" eb="8">
      <t>シャシン</t>
    </rPh>
    <rPh sb="8" eb="10">
      <t>サツエイ</t>
    </rPh>
    <phoneticPr fontId="1"/>
  </si>
  <si>
    <t>ラック周辺に残置物が無いこと</t>
    <rPh sb="3" eb="5">
      <t>シュウヘン</t>
    </rPh>
    <rPh sb="6" eb="9">
      <t>ザンチブツ</t>
    </rPh>
    <rPh sb="10" eb="11">
      <t>ナ</t>
    </rPh>
    <phoneticPr fontId="1"/>
  </si>
  <si>
    <t>返送機器梱包</t>
    <rPh sb="0" eb="2">
      <t>ヘンソウ</t>
    </rPh>
    <rPh sb="2" eb="4">
      <t>キキ</t>
    </rPh>
    <rPh sb="4" eb="6">
      <t>コンポウ</t>
    </rPh>
    <phoneticPr fontId="1"/>
  </si>
  <si>
    <t>返送機器をお客様へ引渡し</t>
    <rPh sb="0" eb="2">
      <t>ヘンソウ</t>
    </rPh>
    <rPh sb="2" eb="4">
      <t>キキ</t>
    </rPh>
    <rPh sb="6" eb="8">
      <t>キャクサマ</t>
    </rPh>
    <rPh sb="9" eb="11">
      <t>ヒキワタ</t>
    </rPh>
    <phoneticPr fontId="1"/>
  </si>
  <si>
    <t>ISR4431 × 2台 初期化</t>
    <rPh sb="11" eb="12">
      <t>ダイ</t>
    </rPh>
    <rPh sb="13" eb="16">
      <t>ショキカ</t>
    </rPh>
    <phoneticPr fontId="1"/>
  </si>
  <si>
    <t>ISR4431 × 2台 ラック撤去</t>
    <rPh sb="11" eb="12">
      <t>ダイ</t>
    </rPh>
    <rPh sb="16" eb="18">
      <t>テッキョ</t>
    </rPh>
    <phoneticPr fontId="1"/>
  </si>
  <si>
    <t>IP900 × 11台 ラック撤去</t>
    <rPh sb="10" eb="11">
      <t>ダイ</t>
    </rPh>
    <rPh sb="15" eb="17">
      <t>テッキョ</t>
    </rPh>
    <phoneticPr fontId="1"/>
  </si>
  <si>
    <t>HVX300 × 6台 ラック撤去</t>
    <rPh sb="10" eb="11">
      <t>ダイ</t>
    </rPh>
    <rPh sb="15" eb="17">
      <t>テッキョ</t>
    </rPh>
    <phoneticPr fontId="1"/>
  </si>
  <si>
    <t>本部校機器撤去</t>
    <rPh sb="0" eb="2">
      <t>ホンブ</t>
    </rPh>
    <rPh sb="2" eb="3">
      <t>コウ</t>
    </rPh>
    <rPh sb="3" eb="5">
      <t>キキ</t>
    </rPh>
    <rPh sb="5" eb="7">
      <t>テッキョ</t>
    </rPh>
    <phoneticPr fontId="1"/>
  </si>
  <si>
    <t>FW QoS設定変更</t>
    <rPh sb="6" eb="8">
      <t>セッテイ</t>
    </rPh>
    <rPh sb="8" eb="10">
      <t>ヘンコウ</t>
    </rPh>
    <phoneticPr fontId="1"/>
  </si>
  <si>
    <t>QoS設定</t>
    <rPh sb="3" eb="5">
      <t>セッテイ</t>
    </rPh>
    <phoneticPr fontId="1"/>
  </si>
  <si>
    <t>shaping-policy設定
(クラス毎のトラフィックを定義)</t>
    <phoneticPr fontId="1"/>
  </si>
  <si>
    <t>送信元アドレス変更</t>
    <rPh sb="0" eb="3">
      <t>ソウシンモト</t>
    </rPh>
    <rPh sb="7" eb="9">
      <t>ヘンコウ</t>
    </rPh>
    <phoneticPr fontId="1"/>
  </si>
  <si>
    <t>システム &gt; 表示機能設定
その他の機能の「ローカルアウトルーティング」を有効
適用をクリック</t>
    <rPh sb="7" eb="9">
      <t>ヒョウジ</t>
    </rPh>
    <rPh sb="9" eb="13">
      <t>キノウセッテイ</t>
    </rPh>
    <rPh sb="16" eb="17">
      <t>タ</t>
    </rPh>
    <rPh sb="18" eb="20">
      <t>キノウ</t>
    </rPh>
    <rPh sb="37" eb="39">
      <t>ユウコウ</t>
    </rPh>
    <rPh sb="40" eb="42">
      <t>テキヨウ</t>
    </rPh>
    <phoneticPr fontId="1"/>
  </si>
  <si>
    <t>送信元アドレスの作成</t>
    <rPh sb="0" eb="2">
      <t>ソウシン</t>
    </rPh>
    <rPh sb="2" eb="3">
      <t>モト</t>
    </rPh>
    <rPh sb="8" eb="10">
      <t>サクセイ</t>
    </rPh>
    <phoneticPr fontId="1"/>
  </si>
  <si>
    <t>表示設定</t>
    <rPh sb="0" eb="2">
      <t>ヒョウジ</t>
    </rPh>
    <rPh sb="2" eb="4">
      <t>セッテイ</t>
    </rPh>
    <phoneticPr fontId="1"/>
  </si>
  <si>
    <t>送信元アドレスの指定</t>
    <rPh sb="8" eb="10">
      <t>シテイ</t>
    </rPh>
    <phoneticPr fontId="1"/>
  </si>
  <si>
    <t>QoS確認</t>
    <rPh sb="3" eb="5">
      <t>カクニン</t>
    </rPh>
    <phoneticPr fontId="1"/>
  </si>
  <si>
    <t>QoS確認</t>
    <phoneticPr fontId="1"/>
  </si>
  <si>
    <t>diagnose sys session list</t>
    <phoneticPr fontId="1"/>
  </si>
  <si>
    <t>※Elementalレストアと並行で実施</t>
    <rPh sb="15" eb="17">
      <t>ヘイコウ</t>
    </rPh>
    <rPh sb="18" eb="20">
      <t>ジッシ</t>
    </rPh>
    <phoneticPr fontId="1"/>
  </si>
  <si>
    <t>ログファイル名：ホスト名_yyyymmdd.log</t>
    <rPh sb="6" eb="7">
      <t>メイ</t>
    </rPh>
    <rPh sb="11" eb="12">
      <t>メイ</t>
    </rPh>
    <phoneticPr fontId="1"/>
  </si>
  <si>
    <t xml:space="preserve">config firewall shaping-policy
    edit 2
        set traffic-type local-out
    next
end
</t>
    <phoneticPr fontId="1"/>
  </si>
  <si>
    <t>作業PCを本部校SWに接続する
IP：
接続先：</t>
    <rPh sb="0" eb="2">
      <t>サギョウ</t>
    </rPh>
    <rPh sb="5" eb="7">
      <t>ホンブ</t>
    </rPh>
    <rPh sb="7" eb="8">
      <t>コウ</t>
    </rPh>
    <rPh sb="11" eb="13">
      <t>セツゾク</t>
    </rPh>
    <rPh sb="20" eb="22">
      <t>セツゾク</t>
    </rPh>
    <rPh sb="22" eb="23">
      <t>サキ</t>
    </rPh>
    <phoneticPr fontId="1"/>
  </si>
  <si>
    <t>工事手順書：3月25日作業</t>
    <rPh sb="0" eb="2">
      <t>コウジ</t>
    </rPh>
    <rPh sb="2" eb="5">
      <t>テジュンショ</t>
    </rPh>
    <rPh sb="7" eb="8">
      <t>ガツ</t>
    </rPh>
    <rPh sb="10" eb="11">
      <t>ニチ</t>
    </rPh>
    <rPh sb="11" eb="13">
      <t>サギョウ</t>
    </rPh>
    <phoneticPr fontId="1"/>
  </si>
  <si>
    <t xml:space="preserve">ネットワーク &gt; インターフェース
物理インターフェースの「wan」を編集
セカンダリIPアドレスを有効にし、新規作成をクリック
IP/ネットマスクに
管理アクセスは何もチェックしない。
OKをクリック
</t>
    <rPh sb="18" eb="20">
      <t>ブツリ</t>
    </rPh>
    <rPh sb="35" eb="37">
      <t>ヘンシュウ</t>
    </rPh>
    <rPh sb="50" eb="52">
      <t>ユウコウ</t>
    </rPh>
    <rPh sb="55" eb="59">
      <t>シンキサクセイ</t>
    </rPh>
    <rPh sb="76" eb="78">
      <t>カンリ</t>
    </rPh>
    <rPh sb="83" eb="84">
      <t>ナニ</t>
    </rPh>
    <phoneticPr fontId="1"/>
  </si>
  <si>
    <t>ネットワーク &gt; ローカルアウトルーティング
「システムFortiguard」を編集
発信インターフェースを"wan"
送信元IPを
OKをクリック</t>
    <phoneticPr fontId="1"/>
  </si>
  <si>
    <t>ネットワーク &gt; ローカルアウトルーティング
「システムDNS」を編集
発信インターフェースを"wan"
送信元IPを
OKをクリック</t>
    <phoneticPr fontId="1"/>
  </si>
  <si>
    <t>ネットワーク &gt; ローカルアウトルーティング
「FortiGate Cloudログ」設定を編集
発信インターフェースを"wan"
送信元IPを
OKをクリック</t>
    <rPh sb="42" eb="44">
      <t>セッテイ</t>
    </rPh>
    <phoneticPr fontId="1"/>
  </si>
  <si>
    <t>config system ntp
    set source-ip
end</t>
    <phoneticPr fontId="1"/>
  </si>
  <si>
    <t xml:space="preserve">以下のエントリが存在すること
shaping_policy_id：　かつ、
送信元アドレス：
</t>
    <rPh sb="0" eb="2">
      <t>イカ</t>
    </rPh>
    <rPh sb="8" eb="10">
      <t>ソンザイ</t>
    </rPh>
    <rPh sb="38" eb="40">
      <t>ソウシン</t>
    </rPh>
    <rPh sb="40" eb="41">
      <t>モト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</si>
</sst>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0" xfId="0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vertical="top"/>
    </xf>
    <xf numFmtId="0" fontId="5" fillId="0" borderId="0" xfId="0" applyFont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2" borderId="1" xfId="0" applyFont="1" applyFill="1" applyBorder="1">
      <alignment vertical="center"/>
    </xf>
    <xf numFmtId="0" fontId="0" fillId="0" borderId="1" xfId="0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20" fontId="0" fillId="0" borderId="2" xfId="0" applyNumberFormat="1" applyBorder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0" fillId="0" borderId="2" xfId="0" applyBorder="1" applyAlignment="1">
      <alignment vertical="top" wrapText="1"/>
    </xf>
    <xf numFmtId="0" fontId="2" fillId="3" borderId="1" xfId="0" quotePrefix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20" fontId="0" fillId="0" borderId="3" xfId="0" applyNumberFormat="1" applyBorder="1" applyAlignment="1">
      <alignment horizontal="center" vertical="top"/>
    </xf>
    <xf numFmtId="0" fontId="4" fillId="0" borderId="0" xfId="0" applyFont="1">
      <alignment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4" fillId="0" borderId="1" xfId="0" applyFont="1" applyBorder="1">
      <alignment vertical="center"/>
    </xf>
    <xf numFmtId="0" fontId="0" fillId="0" borderId="4" xfId="0" applyBorder="1" applyAlignment="1">
      <alignment vertical="top" wrapText="1"/>
    </xf>
    <xf numFmtId="20" fontId="0" fillId="0" borderId="1" xfId="0" applyNumberFormat="1" applyBorder="1" applyAlignment="1">
      <alignment horizontal="center" vertical="top"/>
    </xf>
    <xf numFmtId="20" fontId="0" fillId="0" borderId="2" xfId="0" applyNumberForma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F192-3680-47E9-9CFD-E5EE238202EA}">
  <dimension ref="A1:J22"/>
  <sheetViews>
    <sheetView showGridLines="0" zoomScale="70" zoomScaleNormal="70" workbookViewId="0">
      <pane ySplit="2" topLeftCell="A3" activePane="bottomLeft" state="frozen"/>
      <selection pane="bottomLeft" activeCell="G17" sqref="G17"/>
    </sheetView>
  </sheetViews>
  <sheetFormatPr defaultColWidth="9" defaultRowHeight="18" x14ac:dyDescent="0.55000000000000004"/>
  <cols>
    <col min="1" max="1" width="3.58203125" style="1" bestFit="1" customWidth="1"/>
    <col min="2" max="2" width="5.5" style="1" bestFit="1" customWidth="1"/>
    <col min="3" max="3" width="9" style="1"/>
    <col min="4" max="4" width="30" style="1" customWidth="1"/>
    <col min="5" max="5" width="9" style="1" customWidth="1"/>
    <col min="6" max="6" width="30" style="1" customWidth="1"/>
    <col min="7" max="8" width="62.5" style="1" customWidth="1"/>
    <col min="9" max="16384" width="9" style="1"/>
  </cols>
  <sheetData>
    <row r="1" spans="1:10" x14ac:dyDescent="0.55000000000000004">
      <c r="A1" s="2" t="s">
        <v>129</v>
      </c>
      <c r="J1" s="19"/>
    </row>
    <row r="2" spans="1:10" x14ac:dyDescent="0.55000000000000004">
      <c r="A2" s="9" t="s">
        <v>23</v>
      </c>
      <c r="B2" s="9" t="s">
        <v>11</v>
      </c>
      <c r="C2" s="9" t="s">
        <v>16</v>
      </c>
      <c r="D2" s="3" t="s">
        <v>12</v>
      </c>
      <c r="E2" s="9" t="s">
        <v>20</v>
      </c>
      <c r="F2" s="3" t="s">
        <v>13</v>
      </c>
      <c r="G2" s="3" t="s">
        <v>41</v>
      </c>
      <c r="H2" s="3" t="s">
        <v>14</v>
      </c>
      <c r="I2" s="9" t="s">
        <v>15</v>
      </c>
      <c r="J2" s="9" t="s">
        <v>17</v>
      </c>
    </row>
    <row r="3" spans="1:10" x14ac:dyDescent="0.55000000000000004">
      <c r="A3" s="22">
        <f>ROW()-2</f>
        <v>1</v>
      </c>
      <c r="B3" s="13">
        <v>1</v>
      </c>
      <c r="C3" s="18">
        <v>0.54166666666666663</v>
      </c>
      <c r="D3" s="5" t="s">
        <v>36</v>
      </c>
      <c r="E3" s="10"/>
      <c r="F3" s="4" t="s">
        <v>18</v>
      </c>
      <c r="G3" s="6" t="s">
        <v>98</v>
      </c>
      <c r="H3" s="6" t="s">
        <v>19</v>
      </c>
      <c r="I3" s="17"/>
      <c r="J3" s="31">
        <v>0.53819444444444442</v>
      </c>
    </row>
    <row r="4" spans="1:10" x14ac:dyDescent="0.55000000000000004">
      <c r="A4" s="22">
        <f t="shared" ref="A4:A22" si="0">ROW()-2</f>
        <v>2</v>
      </c>
      <c r="B4" s="14"/>
      <c r="C4" s="14"/>
      <c r="D4" s="11"/>
      <c r="E4" s="10"/>
      <c r="F4" s="4" t="s">
        <v>21</v>
      </c>
      <c r="G4" s="6" t="s">
        <v>22</v>
      </c>
      <c r="H4" s="6" t="s">
        <v>19</v>
      </c>
      <c r="I4" s="17" t="b">
        <v>0</v>
      </c>
      <c r="J4" s="31">
        <v>0.54166666666666663</v>
      </c>
    </row>
    <row r="5" spans="1:10" ht="54" x14ac:dyDescent="0.55000000000000004">
      <c r="A5" s="22">
        <f t="shared" si="0"/>
        <v>3</v>
      </c>
      <c r="B5" s="14"/>
      <c r="C5" s="14"/>
      <c r="D5" s="11"/>
      <c r="E5" s="13"/>
      <c r="F5" s="4" t="s">
        <v>97</v>
      </c>
      <c r="G5" s="6" t="s">
        <v>128</v>
      </c>
      <c r="H5" s="6" t="s">
        <v>19</v>
      </c>
      <c r="I5" s="17" t="b">
        <v>0</v>
      </c>
      <c r="J5" s="31">
        <v>0.54513888888888884</v>
      </c>
    </row>
    <row r="6" spans="1:10" x14ac:dyDescent="0.55000000000000004">
      <c r="A6" s="22">
        <f t="shared" si="0"/>
        <v>4</v>
      </c>
      <c r="B6" s="15"/>
      <c r="C6" s="15"/>
      <c r="D6" s="7"/>
      <c r="E6" s="13"/>
      <c r="F6" s="4" t="s">
        <v>25</v>
      </c>
      <c r="G6" s="6" t="s">
        <v>35</v>
      </c>
      <c r="H6" s="6" t="s">
        <v>19</v>
      </c>
      <c r="I6" s="17" t="b">
        <v>0</v>
      </c>
      <c r="J6" s="31">
        <v>0.5625</v>
      </c>
    </row>
    <row r="7" spans="1:10" x14ac:dyDescent="0.55000000000000004">
      <c r="A7" s="22">
        <f t="shared" si="0"/>
        <v>5</v>
      </c>
      <c r="B7" s="13">
        <v>2</v>
      </c>
      <c r="C7" s="18">
        <v>0.5625</v>
      </c>
      <c r="D7" s="5" t="s">
        <v>24</v>
      </c>
      <c r="E7" s="13"/>
      <c r="F7" s="4" t="s">
        <v>114</v>
      </c>
      <c r="G7" s="20" t="s">
        <v>33</v>
      </c>
      <c r="H7" s="6" t="s">
        <v>19</v>
      </c>
      <c r="I7" s="17" t="b">
        <v>0</v>
      </c>
      <c r="J7" s="31">
        <v>0.58333333333333337</v>
      </c>
    </row>
    <row r="8" spans="1:10" x14ac:dyDescent="0.55000000000000004">
      <c r="A8" s="22">
        <f t="shared" si="0"/>
        <v>6</v>
      </c>
      <c r="B8" s="15"/>
      <c r="C8" s="23"/>
      <c r="D8" s="7"/>
      <c r="E8" s="13"/>
      <c r="F8" s="4" t="s">
        <v>38</v>
      </c>
      <c r="G8" s="20" t="s">
        <v>39</v>
      </c>
      <c r="H8" s="6" t="s">
        <v>40</v>
      </c>
      <c r="I8" s="17" t="b">
        <v>0</v>
      </c>
      <c r="J8" s="10"/>
    </row>
    <row r="9" spans="1:10" x14ac:dyDescent="0.55000000000000004">
      <c r="A9" s="22">
        <f t="shared" si="0"/>
        <v>7</v>
      </c>
      <c r="B9" s="13">
        <v>4</v>
      </c>
      <c r="C9" s="18">
        <v>0.58333333333333337</v>
      </c>
      <c r="D9" s="5" t="s">
        <v>102</v>
      </c>
      <c r="E9" s="13"/>
      <c r="F9" s="5" t="s">
        <v>113</v>
      </c>
      <c r="G9" s="6" t="s">
        <v>103</v>
      </c>
      <c r="H9" s="6" t="s">
        <v>19</v>
      </c>
      <c r="I9" s="17" t="b">
        <v>0</v>
      </c>
      <c r="J9" s="31">
        <v>0.55208333333333337</v>
      </c>
    </row>
    <row r="10" spans="1:10" x14ac:dyDescent="0.55000000000000004">
      <c r="A10" s="22">
        <f t="shared" si="0"/>
        <v>8</v>
      </c>
      <c r="B10" s="14"/>
      <c r="C10" s="14"/>
      <c r="D10" s="11" t="s">
        <v>125</v>
      </c>
      <c r="E10" s="14"/>
      <c r="F10" s="11"/>
      <c r="G10" s="6" t="s">
        <v>109</v>
      </c>
      <c r="H10" s="6" t="s">
        <v>19</v>
      </c>
      <c r="I10" s="17" t="b">
        <v>0</v>
      </c>
      <c r="J10" s="31">
        <v>0.56944444444444442</v>
      </c>
    </row>
    <row r="11" spans="1:10" x14ac:dyDescent="0.55000000000000004">
      <c r="A11" s="22">
        <f t="shared" si="0"/>
        <v>9</v>
      </c>
      <c r="B11" s="14"/>
      <c r="C11" s="14"/>
      <c r="D11" s="11"/>
      <c r="E11" s="14"/>
      <c r="F11" s="11"/>
      <c r="G11" s="6" t="s">
        <v>110</v>
      </c>
      <c r="H11" s="6" t="s">
        <v>19</v>
      </c>
      <c r="I11" s="17" t="b">
        <v>0</v>
      </c>
      <c r="J11" s="32">
        <v>0.625</v>
      </c>
    </row>
    <row r="12" spans="1:10" x14ac:dyDescent="0.55000000000000004">
      <c r="A12" s="22">
        <f t="shared" si="0"/>
        <v>10</v>
      </c>
      <c r="B12" s="14"/>
      <c r="C12" s="14"/>
      <c r="D12" s="11"/>
      <c r="E12" s="14"/>
      <c r="F12" s="11"/>
      <c r="G12" s="6" t="s">
        <v>111</v>
      </c>
      <c r="H12" s="6" t="s">
        <v>19</v>
      </c>
      <c r="I12" s="17" t="b">
        <v>0</v>
      </c>
      <c r="J12" s="33"/>
    </row>
    <row r="13" spans="1:10" x14ac:dyDescent="0.55000000000000004">
      <c r="A13" s="22">
        <f t="shared" si="0"/>
        <v>11</v>
      </c>
      <c r="B13" s="14"/>
      <c r="C13" s="14"/>
      <c r="D13" s="11"/>
      <c r="E13" s="14"/>
      <c r="F13" s="11"/>
      <c r="G13" s="6" t="s">
        <v>112</v>
      </c>
      <c r="H13" s="6" t="s">
        <v>19</v>
      </c>
      <c r="I13" s="17" t="b">
        <v>0</v>
      </c>
      <c r="J13" s="33"/>
    </row>
    <row r="14" spans="1:10" x14ac:dyDescent="0.55000000000000004">
      <c r="A14" s="22">
        <f t="shared" si="0"/>
        <v>12</v>
      </c>
      <c r="B14" s="14"/>
      <c r="C14" s="14"/>
      <c r="D14" s="11"/>
      <c r="E14" s="14"/>
      <c r="F14" s="11"/>
      <c r="G14" s="6" t="s">
        <v>104</v>
      </c>
      <c r="H14" s="6" t="s">
        <v>19</v>
      </c>
      <c r="I14" s="17" t="b">
        <v>0</v>
      </c>
      <c r="J14" s="34"/>
    </row>
    <row r="15" spans="1:10" x14ac:dyDescent="0.55000000000000004">
      <c r="A15" s="22">
        <f t="shared" si="0"/>
        <v>13</v>
      </c>
      <c r="B15" s="14"/>
      <c r="C15" s="14"/>
      <c r="D15" s="11"/>
      <c r="E15" s="14"/>
      <c r="F15" s="11"/>
      <c r="G15" s="6" t="s">
        <v>105</v>
      </c>
      <c r="H15" s="6" t="s">
        <v>19</v>
      </c>
      <c r="I15" s="17" t="b">
        <v>0</v>
      </c>
      <c r="J15" s="31">
        <v>0.69791666666666663</v>
      </c>
    </row>
    <row r="16" spans="1:10" x14ac:dyDescent="0.55000000000000004">
      <c r="A16" s="22">
        <f t="shared" si="0"/>
        <v>14</v>
      </c>
      <c r="B16" s="14"/>
      <c r="C16" s="14"/>
      <c r="D16" s="11"/>
      <c r="E16" s="14"/>
      <c r="F16" s="11"/>
      <c r="G16" s="6" t="s">
        <v>106</v>
      </c>
      <c r="H16" s="6" t="s">
        <v>19</v>
      </c>
      <c r="I16" s="17" t="b">
        <v>0</v>
      </c>
      <c r="J16" s="31">
        <v>0.69791666666666663</v>
      </c>
    </row>
    <row r="17" spans="1:10" x14ac:dyDescent="0.55000000000000004">
      <c r="A17" s="22">
        <f t="shared" si="0"/>
        <v>15</v>
      </c>
      <c r="B17" s="14"/>
      <c r="C17" s="14"/>
      <c r="D17" s="11"/>
      <c r="E17" s="14"/>
      <c r="F17" s="11"/>
      <c r="G17" s="6" t="s">
        <v>107</v>
      </c>
      <c r="H17" s="6" t="s">
        <v>19</v>
      </c>
      <c r="I17" s="17" t="b">
        <v>0</v>
      </c>
      <c r="J17" s="31">
        <v>0.70138888888888884</v>
      </c>
    </row>
    <row r="18" spans="1:10" x14ac:dyDescent="0.55000000000000004">
      <c r="A18" s="22">
        <f t="shared" si="0"/>
        <v>16</v>
      </c>
      <c r="B18" s="14"/>
      <c r="C18" s="14"/>
      <c r="D18" s="11"/>
      <c r="E18" s="14"/>
      <c r="F18" s="7"/>
      <c r="G18" s="6" t="s">
        <v>108</v>
      </c>
      <c r="H18" s="6" t="s">
        <v>19</v>
      </c>
      <c r="I18" s="17" t="b">
        <v>0</v>
      </c>
      <c r="J18" s="31">
        <v>0.70138888888888884</v>
      </c>
    </row>
    <row r="19" spans="1:10" x14ac:dyDescent="0.55000000000000004">
      <c r="A19" s="22">
        <f t="shared" si="0"/>
        <v>17</v>
      </c>
      <c r="B19" s="13">
        <v>5</v>
      </c>
      <c r="C19" s="18">
        <v>0.70833333333333337</v>
      </c>
      <c r="D19" s="5" t="s">
        <v>27</v>
      </c>
      <c r="E19" s="10"/>
      <c r="F19" s="4" t="s">
        <v>26</v>
      </c>
      <c r="G19" s="6" t="s">
        <v>35</v>
      </c>
      <c r="H19" s="6" t="s">
        <v>19</v>
      </c>
      <c r="I19" s="17" t="b">
        <v>0</v>
      </c>
      <c r="J19" s="31">
        <v>0.6875</v>
      </c>
    </row>
    <row r="20" spans="1:10" x14ac:dyDescent="0.55000000000000004">
      <c r="A20" s="22">
        <f t="shared" si="0"/>
        <v>18</v>
      </c>
      <c r="B20" s="14"/>
      <c r="C20" s="14"/>
      <c r="D20" s="11"/>
      <c r="E20" s="13"/>
      <c r="F20" s="4" t="s">
        <v>32</v>
      </c>
      <c r="G20" s="6" t="s">
        <v>37</v>
      </c>
      <c r="H20" s="6" t="s">
        <v>19</v>
      </c>
      <c r="I20" s="17" t="b">
        <v>0</v>
      </c>
      <c r="J20" s="31">
        <v>0.70833333333333337</v>
      </c>
    </row>
    <row r="21" spans="1:10" x14ac:dyDescent="0.55000000000000004">
      <c r="A21" s="22">
        <f t="shared" si="0"/>
        <v>19</v>
      </c>
      <c r="B21" s="14"/>
      <c r="C21" s="14"/>
      <c r="D21" s="11"/>
      <c r="E21" s="14"/>
      <c r="F21" s="4" t="s">
        <v>28</v>
      </c>
      <c r="G21" s="6" t="s">
        <v>30</v>
      </c>
      <c r="H21" s="6" t="s">
        <v>31</v>
      </c>
      <c r="I21" s="17" t="b">
        <v>0</v>
      </c>
      <c r="J21" s="31">
        <v>0.71180555555555558</v>
      </c>
    </row>
    <row r="22" spans="1:10" x14ac:dyDescent="0.55000000000000004">
      <c r="A22" s="22">
        <f t="shared" si="0"/>
        <v>20</v>
      </c>
      <c r="B22" s="15"/>
      <c r="C22" s="15"/>
      <c r="D22" s="7"/>
      <c r="E22" s="15"/>
      <c r="F22" s="4" t="s">
        <v>29</v>
      </c>
      <c r="G22" s="6" t="s">
        <v>19</v>
      </c>
      <c r="H22" s="6" t="s">
        <v>19</v>
      </c>
      <c r="I22" s="17" t="b">
        <v>0</v>
      </c>
      <c r="J22" s="31">
        <v>0.71527777777777779</v>
      </c>
    </row>
  </sheetData>
  <mergeCells count="1">
    <mergeCell ref="J11:J1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CAC3-500D-462D-A153-AFD572C13B7D}">
  <dimension ref="A1:E45"/>
  <sheetViews>
    <sheetView showGridLines="0" workbookViewId="0">
      <selection activeCell="C20" sqref="C20"/>
    </sheetView>
  </sheetViews>
  <sheetFormatPr defaultRowHeight="18" x14ac:dyDescent="0.55000000000000004"/>
  <cols>
    <col min="1" max="1" width="14" bestFit="1" customWidth="1"/>
    <col min="2" max="3" width="42" bestFit="1" customWidth="1"/>
    <col min="4" max="5" width="46.75" bestFit="1" customWidth="1"/>
  </cols>
  <sheetData>
    <row r="1" spans="1:5" x14ac:dyDescent="0.55000000000000004">
      <c r="A1" s="24" t="s">
        <v>42</v>
      </c>
    </row>
    <row r="2" spans="1:5" x14ac:dyDescent="0.55000000000000004">
      <c r="A2" s="29" t="s">
        <v>100</v>
      </c>
      <c r="B2" s="25" t="b">
        <v>0</v>
      </c>
      <c r="C2" s="25" t="b">
        <v>0</v>
      </c>
      <c r="D2" s="25" t="b">
        <v>0</v>
      </c>
      <c r="E2" s="25" t="b">
        <v>0</v>
      </c>
    </row>
    <row r="3" spans="1:5" x14ac:dyDescent="0.55000000000000004">
      <c r="A3" s="29" t="s">
        <v>101</v>
      </c>
      <c r="B3" s="25" t="b">
        <v>0</v>
      </c>
      <c r="C3" s="25" t="b">
        <v>0</v>
      </c>
      <c r="D3" s="25" t="b">
        <v>0</v>
      </c>
      <c r="E3" s="25" t="b">
        <v>0</v>
      </c>
    </row>
    <row r="4" spans="1:5" x14ac:dyDescent="0.55000000000000004">
      <c r="A4" s="16" t="s">
        <v>0</v>
      </c>
      <c r="B4" s="16" t="s">
        <v>1</v>
      </c>
      <c r="C4" s="16" t="s">
        <v>5</v>
      </c>
      <c r="D4" s="16" t="s">
        <v>2</v>
      </c>
      <c r="E4" s="16" t="s">
        <v>3</v>
      </c>
    </row>
    <row r="5" spans="1:5" x14ac:dyDescent="0.55000000000000004">
      <c r="A5" s="26" t="s">
        <v>43</v>
      </c>
      <c r="B5" s="26" t="s">
        <v>84</v>
      </c>
      <c r="C5" s="26" t="s">
        <v>84</v>
      </c>
      <c r="D5" s="26" t="s">
        <v>44</v>
      </c>
      <c r="E5" s="26" t="s">
        <v>44</v>
      </c>
    </row>
    <row r="6" spans="1:5" x14ac:dyDescent="0.55000000000000004">
      <c r="A6" s="27"/>
      <c r="B6" s="27" t="s">
        <v>85</v>
      </c>
      <c r="C6" s="27" t="s">
        <v>85</v>
      </c>
      <c r="D6" s="27" t="s">
        <v>45</v>
      </c>
      <c r="E6" s="27" t="s">
        <v>45</v>
      </c>
    </row>
    <row r="7" spans="1:5" x14ac:dyDescent="0.55000000000000004">
      <c r="A7" s="27"/>
      <c r="B7" s="27" t="s">
        <v>86</v>
      </c>
      <c r="C7" s="27" t="s">
        <v>86</v>
      </c>
      <c r="D7" s="27" t="s">
        <v>46</v>
      </c>
      <c r="E7" s="27" t="s">
        <v>46</v>
      </c>
    </row>
    <row r="8" spans="1:5" x14ac:dyDescent="0.55000000000000004">
      <c r="A8" s="27"/>
      <c r="B8" s="27" t="s">
        <v>87</v>
      </c>
      <c r="C8" s="27" t="s">
        <v>87</v>
      </c>
      <c r="D8" s="27" t="s">
        <v>47</v>
      </c>
      <c r="E8" s="27" t="s">
        <v>47</v>
      </c>
    </row>
    <row r="9" spans="1:5" x14ac:dyDescent="0.55000000000000004">
      <c r="A9" s="27"/>
      <c r="B9" s="27" t="s">
        <v>8</v>
      </c>
      <c r="C9" s="27" t="s">
        <v>8</v>
      </c>
      <c r="D9" s="27" t="s">
        <v>48</v>
      </c>
      <c r="E9" s="27" t="s">
        <v>48</v>
      </c>
    </row>
    <row r="10" spans="1:5" x14ac:dyDescent="0.55000000000000004">
      <c r="A10" s="27"/>
      <c r="B10" s="27" t="s">
        <v>9</v>
      </c>
      <c r="C10" s="27" t="s">
        <v>9</v>
      </c>
      <c r="D10" s="27" t="s">
        <v>49</v>
      </c>
      <c r="E10" s="27" t="s">
        <v>49</v>
      </c>
    </row>
    <row r="11" spans="1:5" x14ac:dyDescent="0.55000000000000004">
      <c r="A11" s="27"/>
      <c r="B11" s="27" t="s">
        <v>88</v>
      </c>
      <c r="C11" s="27" t="s">
        <v>88</v>
      </c>
      <c r="D11" s="27" t="s">
        <v>50</v>
      </c>
      <c r="E11" s="27" t="s">
        <v>50</v>
      </c>
    </row>
    <row r="12" spans="1:5" x14ac:dyDescent="0.55000000000000004">
      <c r="A12" s="27"/>
      <c r="B12" s="27" t="s">
        <v>89</v>
      </c>
      <c r="C12" s="27" t="s">
        <v>89</v>
      </c>
      <c r="D12" s="27" t="s">
        <v>51</v>
      </c>
      <c r="E12" s="27" t="s">
        <v>51</v>
      </c>
    </row>
    <row r="13" spans="1:5" x14ac:dyDescent="0.55000000000000004">
      <c r="A13" s="27"/>
      <c r="B13" s="27" t="s">
        <v>86</v>
      </c>
      <c r="C13" s="27" t="s">
        <v>86</v>
      </c>
      <c r="D13" s="27" t="s">
        <v>52</v>
      </c>
      <c r="E13" s="27" t="s">
        <v>52</v>
      </c>
    </row>
    <row r="14" spans="1:5" x14ac:dyDescent="0.55000000000000004">
      <c r="A14" s="27"/>
      <c r="B14" s="27" t="s">
        <v>90</v>
      </c>
      <c r="C14" s="27" t="s">
        <v>90</v>
      </c>
      <c r="D14" s="27" t="s">
        <v>53</v>
      </c>
      <c r="E14" s="27" t="s">
        <v>53</v>
      </c>
    </row>
    <row r="15" spans="1:5" x14ac:dyDescent="0.55000000000000004">
      <c r="A15" s="27"/>
      <c r="B15" s="27" t="s">
        <v>91</v>
      </c>
      <c r="C15" s="27" t="s">
        <v>91</v>
      </c>
      <c r="D15" s="27" t="s">
        <v>54</v>
      </c>
      <c r="E15" s="27" t="s">
        <v>54</v>
      </c>
    </row>
    <row r="16" spans="1:5" x14ac:dyDescent="0.55000000000000004">
      <c r="A16" s="27"/>
      <c r="B16" s="27" t="s">
        <v>92</v>
      </c>
      <c r="C16" s="27" t="s">
        <v>92</v>
      </c>
      <c r="D16" s="27" t="s">
        <v>55</v>
      </c>
      <c r="E16" s="27" t="s">
        <v>55</v>
      </c>
    </row>
    <row r="17" spans="1:5" x14ac:dyDescent="0.55000000000000004">
      <c r="A17" s="27"/>
      <c r="B17" s="27" t="s">
        <v>93</v>
      </c>
      <c r="C17" s="27" t="s">
        <v>93</v>
      </c>
      <c r="D17" s="27" t="s">
        <v>56</v>
      </c>
      <c r="E17" s="27" t="s">
        <v>56</v>
      </c>
    </row>
    <row r="18" spans="1:5" x14ac:dyDescent="0.55000000000000004">
      <c r="A18" s="27"/>
      <c r="B18" s="27" t="s">
        <v>94</v>
      </c>
      <c r="C18" s="27" t="s">
        <v>94</v>
      </c>
      <c r="D18" s="27" t="s">
        <v>57</v>
      </c>
      <c r="E18" s="27" t="s">
        <v>57</v>
      </c>
    </row>
    <row r="19" spans="1:5" x14ac:dyDescent="0.55000000000000004">
      <c r="A19" s="27"/>
      <c r="B19" s="27" t="s">
        <v>95</v>
      </c>
      <c r="C19" s="27" t="s">
        <v>95</v>
      </c>
      <c r="D19" s="27" t="s">
        <v>58</v>
      </c>
      <c r="E19" s="27" t="s">
        <v>58</v>
      </c>
    </row>
    <row r="20" spans="1:5" x14ac:dyDescent="0.55000000000000004">
      <c r="A20" s="27"/>
      <c r="B20" s="27" t="s">
        <v>10</v>
      </c>
      <c r="C20" s="27" t="s">
        <v>10</v>
      </c>
      <c r="D20" s="27" t="s">
        <v>59</v>
      </c>
      <c r="E20" s="27" t="s">
        <v>59</v>
      </c>
    </row>
    <row r="21" spans="1:5" x14ac:dyDescent="0.55000000000000004">
      <c r="A21" s="27"/>
      <c r="B21" s="27" t="s">
        <v>96</v>
      </c>
      <c r="C21" s="27" t="s">
        <v>96</v>
      </c>
      <c r="D21" s="27" t="s">
        <v>60</v>
      </c>
      <c r="E21" s="27" t="s">
        <v>60</v>
      </c>
    </row>
    <row r="22" spans="1:5" x14ac:dyDescent="0.55000000000000004">
      <c r="A22" s="27"/>
      <c r="B22" s="27"/>
      <c r="C22" s="27"/>
      <c r="D22" s="27" t="s">
        <v>61</v>
      </c>
      <c r="E22" s="27" t="s">
        <v>61</v>
      </c>
    </row>
    <row r="23" spans="1:5" x14ac:dyDescent="0.55000000000000004">
      <c r="A23" s="27"/>
      <c r="B23" s="27"/>
      <c r="C23" s="27"/>
      <c r="D23" s="27" t="s">
        <v>62</v>
      </c>
      <c r="E23" s="27" t="s">
        <v>62</v>
      </c>
    </row>
    <row r="24" spans="1:5" x14ac:dyDescent="0.55000000000000004">
      <c r="A24" s="27"/>
      <c r="B24" s="27"/>
      <c r="C24" s="27"/>
      <c r="D24" s="27" t="s">
        <v>4</v>
      </c>
      <c r="E24" s="27" t="s">
        <v>4</v>
      </c>
    </row>
    <row r="25" spans="1:5" x14ac:dyDescent="0.55000000000000004">
      <c r="A25" s="27"/>
      <c r="B25" s="27"/>
      <c r="C25" s="27"/>
      <c r="D25" s="27" t="s">
        <v>63</v>
      </c>
      <c r="E25" s="27" t="s">
        <v>63</v>
      </c>
    </row>
    <row r="26" spans="1:5" x14ac:dyDescent="0.55000000000000004">
      <c r="A26" s="27"/>
      <c r="B26" s="27"/>
      <c r="C26" s="27"/>
      <c r="D26" s="27" t="s">
        <v>64</v>
      </c>
      <c r="E26" s="27" t="s">
        <v>64</v>
      </c>
    </row>
    <row r="27" spans="1:5" x14ac:dyDescent="0.55000000000000004">
      <c r="A27" s="27"/>
      <c r="B27" s="27"/>
      <c r="C27" s="27"/>
      <c r="D27" s="27" t="s">
        <v>65</v>
      </c>
      <c r="E27" s="27" t="s">
        <v>65</v>
      </c>
    </row>
    <row r="28" spans="1:5" x14ac:dyDescent="0.55000000000000004">
      <c r="A28" s="27"/>
      <c r="B28" s="27"/>
      <c r="C28" s="27"/>
      <c r="D28" s="27" t="s">
        <v>66</v>
      </c>
      <c r="E28" s="27" t="s">
        <v>66</v>
      </c>
    </row>
    <row r="29" spans="1:5" x14ac:dyDescent="0.55000000000000004">
      <c r="A29" s="27"/>
      <c r="B29" s="27"/>
      <c r="C29" s="27"/>
      <c r="D29" s="27" t="s">
        <v>67</v>
      </c>
      <c r="E29" s="27" t="s">
        <v>67</v>
      </c>
    </row>
    <row r="30" spans="1:5" x14ac:dyDescent="0.55000000000000004">
      <c r="A30" s="27"/>
      <c r="B30" s="27"/>
      <c r="C30" s="27"/>
      <c r="D30" s="27" t="s">
        <v>68</v>
      </c>
      <c r="E30" s="27" t="s">
        <v>68</v>
      </c>
    </row>
    <row r="31" spans="1:5" x14ac:dyDescent="0.55000000000000004">
      <c r="A31" s="27"/>
      <c r="B31" s="27"/>
      <c r="C31" s="27"/>
      <c r="D31" s="27" t="s">
        <v>69</v>
      </c>
      <c r="E31" s="27" t="s">
        <v>69</v>
      </c>
    </row>
    <row r="32" spans="1:5" x14ac:dyDescent="0.55000000000000004">
      <c r="A32" s="27"/>
      <c r="B32" s="27"/>
      <c r="C32" s="27"/>
      <c r="D32" s="27" t="s">
        <v>70</v>
      </c>
      <c r="E32" s="27" t="s">
        <v>70</v>
      </c>
    </row>
    <row r="33" spans="1:5" x14ac:dyDescent="0.55000000000000004">
      <c r="A33" s="27"/>
      <c r="B33" s="27"/>
      <c r="C33" s="27"/>
      <c r="D33" s="27" t="s">
        <v>71</v>
      </c>
      <c r="E33" s="27" t="s">
        <v>71</v>
      </c>
    </row>
    <row r="34" spans="1:5" x14ac:dyDescent="0.55000000000000004">
      <c r="A34" s="27"/>
      <c r="B34" s="27"/>
      <c r="C34" s="27"/>
      <c r="D34" s="27" t="s">
        <v>72</v>
      </c>
      <c r="E34" s="27" t="s">
        <v>72</v>
      </c>
    </row>
    <row r="35" spans="1:5" x14ac:dyDescent="0.55000000000000004">
      <c r="A35" s="27"/>
      <c r="B35" s="27"/>
      <c r="C35" s="27"/>
      <c r="D35" s="27" t="s">
        <v>73</v>
      </c>
      <c r="E35" s="27" t="s">
        <v>73</v>
      </c>
    </row>
    <row r="36" spans="1:5" x14ac:dyDescent="0.55000000000000004">
      <c r="A36" s="27"/>
      <c r="B36" s="27"/>
      <c r="C36" s="27"/>
      <c r="D36" s="27" t="s">
        <v>74</v>
      </c>
      <c r="E36" s="27" t="s">
        <v>74</v>
      </c>
    </row>
    <row r="37" spans="1:5" x14ac:dyDescent="0.55000000000000004">
      <c r="A37" s="27"/>
      <c r="B37" s="27"/>
      <c r="C37" s="27"/>
      <c r="D37" s="27" t="s">
        <v>75</v>
      </c>
      <c r="E37" s="27" t="s">
        <v>75</v>
      </c>
    </row>
    <row r="38" spans="1:5" x14ac:dyDescent="0.55000000000000004">
      <c r="A38" s="27"/>
      <c r="B38" s="27"/>
      <c r="C38" s="27"/>
      <c r="D38" s="27" t="s">
        <v>76</v>
      </c>
      <c r="E38" s="27" t="s">
        <v>76</v>
      </c>
    </row>
    <row r="39" spans="1:5" x14ac:dyDescent="0.55000000000000004">
      <c r="A39" s="27"/>
      <c r="B39" s="27"/>
      <c r="C39" s="27"/>
      <c r="D39" s="27" t="s">
        <v>77</v>
      </c>
      <c r="E39" s="27" t="s">
        <v>77</v>
      </c>
    </row>
    <row r="40" spans="1:5" x14ac:dyDescent="0.55000000000000004">
      <c r="A40" s="27"/>
      <c r="B40" s="27"/>
      <c r="C40" s="27"/>
      <c r="D40" s="27" t="s">
        <v>78</v>
      </c>
      <c r="E40" s="27" t="s">
        <v>78</v>
      </c>
    </row>
    <row r="41" spans="1:5" x14ac:dyDescent="0.55000000000000004">
      <c r="A41" s="27"/>
      <c r="B41" s="27"/>
      <c r="C41" s="27"/>
      <c r="D41" s="27" t="s">
        <v>79</v>
      </c>
      <c r="E41" s="27" t="s">
        <v>79</v>
      </c>
    </row>
    <row r="42" spans="1:5" x14ac:dyDescent="0.55000000000000004">
      <c r="A42" s="27"/>
      <c r="B42" s="27"/>
      <c r="C42" s="27"/>
      <c r="D42" s="27" t="s">
        <v>80</v>
      </c>
      <c r="E42" s="27" t="s">
        <v>80</v>
      </c>
    </row>
    <row r="43" spans="1:5" x14ac:dyDescent="0.55000000000000004">
      <c r="A43" s="27"/>
      <c r="B43" s="27"/>
      <c r="C43" s="27"/>
      <c r="D43" s="27" t="s">
        <v>81</v>
      </c>
      <c r="E43" s="27" t="s">
        <v>81</v>
      </c>
    </row>
    <row r="44" spans="1:5" x14ac:dyDescent="0.55000000000000004">
      <c r="A44" s="27"/>
      <c r="B44" s="27"/>
      <c r="C44" s="27"/>
      <c r="D44" s="27" t="s">
        <v>82</v>
      </c>
      <c r="E44" s="27" t="s">
        <v>82</v>
      </c>
    </row>
    <row r="45" spans="1:5" x14ac:dyDescent="0.55000000000000004">
      <c r="A45" s="28"/>
      <c r="B45" s="28"/>
      <c r="C45" s="28"/>
      <c r="D45" s="28" t="s">
        <v>83</v>
      </c>
      <c r="E45" s="28" t="s">
        <v>83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E4F6-E06D-4A42-A3F8-CDD441E1686C}">
  <dimension ref="A1:G11"/>
  <sheetViews>
    <sheetView showGridLines="0" tabSelected="1" zoomScale="130" zoomScaleNormal="130" workbookViewId="0">
      <pane ySplit="3" topLeftCell="A4" activePane="bottomLeft" state="frozen"/>
      <selection pane="bottomLeft" activeCell="E5" sqref="E5"/>
    </sheetView>
  </sheetViews>
  <sheetFormatPr defaultColWidth="9" defaultRowHeight="18" x14ac:dyDescent="0.55000000000000004"/>
  <cols>
    <col min="1" max="1" width="3.58203125" style="1" bestFit="1" customWidth="1"/>
    <col min="2" max="2" width="18.83203125" style="1" bestFit="1" customWidth="1"/>
    <col min="3" max="3" width="18.75" style="1" customWidth="1"/>
    <col min="4" max="4" width="37.5" style="1" customWidth="1"/>
    <col min="5" max="6" width="62.5" style="1" customWidth="1"/>
    <col min="7" max="7" width="9" style="8"/>
    <col min="8" max="16384" width="9" style="1"/>
  </cols>
  <sheetData>
    <row r="1" spans="1:7" x14ac:dyDescent="0.55000000000000004">
      <c r="A1" s="2" t="s">
        <v>34</v>
      </c>
    </row>
    <row r="2" spans="1:7" x14ac:dyDescent="0.55000000000000004">
      <c r="A2" s="12" t="s">
        <v>126</v>
      </c>
    </row>
    <row r="3" spans="1:7" x14ac:dyDescent="0.55000000000000004">
      <c r="A3" s="9" t="s">
        <v>23</v>
      </c>
      <c r="B3" s="3" t="s">
        <v>0</v>
      </c>
      <c r="C3" s="3" t="s">
        <v>6</v>
      </c>
      <c r="D3" s="3" t="s">
        <v>7</v>
      </c>
      <c r="E3" s="3" t="s">
        <v>99</v>
      </c>
      <c r="F3" s="3" t="s">
        <v>14</v>
      </c>
      <c r="G3" s="9" t="s">
        <v>15</v>
      </c>
    </row>
    <row r="4" spans="1:7" ht="108" x14ac:dyDescent="0.55000000000000004">
      <c r="A4" s="21">
        <f>ROW()-3</f>
        <v>1</v>
      </c>
      <c r="B4" s="5"/>
      <c r="C4" s="6" t="s">
        <v>115</v>
      </c>
      <c r="D4" s="6" t="s">
        <v>116</v>
      </c>
      <c r="E4" s="6" t="s">
        <v>127</v>
      </c>
      <c r="F4" s="6"/>
      <c r="G4" s="17" t="b">
        <v>1</v>
      </c>
    </row>
    <row r="5" spans="1:7" ht="126" x14ac:dyDescent="0.55000000000000004">
      <c r="A5" s="22">
        <f t="shared" ref="A5:A10" si="0">ROW()-3</f>
        <v>2</v>
      </c>
      <c r="B5" s="11"/>
      <c r="C5" s="5" t="s">
        <v>117</v>
      </c>
      <c r="D5" s="4" t="s">
        <v>119</v>
      </c>
      <c r="E5" s="6" t="s">
        <v>130</v>
      </c>
      <c r="F5" s="6"/>
      <c r="G5" s="17" t="b">
        <v>1</v>
      </c>
    </row>
    <row r="6" spans="1:7" ht="54" x14ac:dyDescent="0.55000000000000004">
      <c r="A6" s="22">
        <f t="shared" si="0"/>
        <v>3</v>
      </c>
      <c r="B6" s="11"/>
      <c r="C6" s="11"/>
      <c r="D6" s="6" t="s">
        <v>120</v>
      </c>
      <c r="E6" s="6" t="s">
        <v>118</v>
      </c>
      <c r="F6" s="6"/>
      <c r="G6" s="17" t="b">
        <v>1</v>
      </c>
    </row>
    <row r="7" spans="1:7" ht="90" x14ac:dyDescent="0.55000000000000004">
      <c r="A7" s="22">
        <f t="shared" si="0"/>
        <v>4</v>
      </c>
      <c r="B7" s="11"/>
      <c r="C7" s="30"/>
      <c r="D7" s="20" t="s">
        <v>121</v>
      </c>
      <c r="E7" s="6" t="s">
        <v>131</v>
      </c>
      <c r="F7" s="6"/>
      <c r="G7" s="17" t="b">
        <v>1</v>
      </c>
    </row>
    <row r="8" spans="1:7" ht="90" x14ac:dyDescent="0.55000000000000004">
      <c r="A8" s="22">
        <f t="shared" si="0"/>
        <v>5</v>
      </c>
      <c r="B8" s="11"/>
      <c r="C8" s="11"/>
      <c r="D8" s="30"/>
      <c r="E8" s="6" t="s">
        <v>132</v>
      </c>
      <c r="F8" s="4"/>
      <c r="G8" s="17" t="b">
        <v>1</v>
      </c>
    </row>
    <row r="9" spans="1:7" ht="90" x14ac:dyDescent="0.55000000000000004">
      <c r="A9" s="22">
        <f t="shared" si="0"/>
        <v>6</v>
      </c>
      <c r="B9" s="11"/>
      <c r="C9" s="11"/>
      <c r="D9" s="30"/>
      <c r="E9" s="6" t="s">
        <v>133</v>
      </c>
      <c r="F9" s="4"/>
      <c r="G9" s="17" t="b">
        <v>1</v>
      </c>
    </row>
    <row r="10" spans="1:7" ht="54" x14ac:dyDescent="0.55000000000000004">
      <c r="A10" s="22">
        <f t="shared" si="0"/>
        <v>7</v>
      </c>
      <c r="B10" s="11"/>
      <c r="C10" s="11"/>
      <c r="D10" s="30"/>
      <c r="E10" s="6" t="s">
        <v>134</v>
      </c>
      <c r="F10" s="4"/>
      <c r="G10" s="17" t="b">
        <v>1</v>
      </c>
    </row>
    <row r="11" spans="1:7" ht="72" x14ac:dyDescent="0.55000000000000004">
      <c r="A11" s="22">
        <f t="shared" ref="A11" si="1">ROW()-3</f>
        <v>8</v>
      </c>
      <c r="B11" s="7"/>
      <c r="C11" s="4" t="s">
        <v>122</v>
      </c>
      <c r="D11" s="4" t="s">
        <v>123</v>
      </c>
      <c r="E11" s="6" t="s">
        <v>124</v>
      </c>
      <c r="F11" s="6" t="s">
        <v>135</v>
      </c>
      <c r="G11" s="17" t="b">
        <v>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590CBE06C3BEF479E8D0DF6459AE0F1" ma:contentTypeVersion="19" ma:contentTypeDescription="新しいドキュメントを作成します。" ma:contentTypeScope="" ma:versionID="24723606201e9f64e878344c7dd33147">
  <xsd:schema xmlns:xsd="http://www.w3.org/2001/XMLSchema" xmlns:xs="http://www.w3.org/2001/XMLSchema" xmlns:p="http://schemas.microsoft.com/office/2006/metadata/properties" xmlns:ns2="4c75b4b3-a099-4b84-b6bd-63db39f5a1fb" xmlns:ns3="e71041b3-82c7-469d-b4de-0e5281f14124" targetNamespace="http://schemas.microsoft.com/office/2006/metadata/properties" ma:root="true" ma:fieldsID="e5cc5370f7169158b8cb7d2d6449b0b1" ns2:_="" ns3:_="">
    <xsd:import namespace="4c75b4b3-a099-4b84-b6bd-63db39f5a1fb"/>
    <xsd:import namespace="e71041b3-82c7-469d-b4de-0e5281f141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5b4b3-a099-4b84-b6bd-63db39f5a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041b3-82c7-469d-b4de-0e5281f1412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ac491ec-15a8-455a-b753-6209e673d917}" ma:internalName="TaxCatchAll" ma:showField="CatchAllData" ma:web="e71041b3-82c7-469d-b4de-0e5281f141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1041b3-82c7-469d-b4de-0e5281f14124" xsi:nil="true"/>
    <lcf76f155ced4ddcb4097134ff3c332f xmlns="4c75b4b3-a099-4b84-b6bd-63db39f5a1fb">
      <Terms xmlns="http://schemas.microsoft.com/office/infopath/2007/PartnerControls"/>
    </lcf76f155ced4ddcb4097134ff3c332f>
    <ArchiverLinkFileType xmlns="4c75b4b3-a099-4b84-b6bd-63db39f5a1fb" xsi:nil="true"/>
  </documentManagement>
</p:properties>
</file>

<file path=customXml/itemProps1.xml><?xml version="1.0" encoding="utf-8"?>
<ds:datastoreItem xmlns:ds="http://schemas.openxmlformats.org/officeDocument/2006/customXml" ds:itemID="{19367166-1B68-4CAD-B184-3E46AEB477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75b4b3-a099-4b84-b6bd-63db39f5a1fb"/>
    <ds:schemaRef ds:uri="e71041b3-82c7-469d-b4de-0e5281f141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9974B7-BBFC-485A-8673-0BA2AB595D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9D31D4-3197-4A42-A1FE-3F2AD33B7C86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e71041b3-82c7-469d-b4de-0e5281f14124"/>
    <ds:schemaRef ds:uri="http://purl.org/dc/elements/1.1/"/>
    <ds:schemaRef ds:uri="http://schemas.openxmlformats.org/package/2006/metadata/core-properties"/>
    <ds:schemaRef ds:uri="4c75b4b3-a099-4b84-b6bd-63db39f5a1fb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3月25日工事手順書</vt:lpstr>
      <vt:lpstr>NW事前事後ログ取得</vt:lpstr>
      <vt:lpstr>FW作業手順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Yamada（山田一毅）</dc:creator>
  <cp:lastModifiedBy>Shuya Amano（天野秀哉）</cp:lastModifiedBy>
  <dcterms:created xsi:type="dcterms:W3CDTF">2026-02-18T06:30:49Z</dcterms:created>
  <dcterms:modified xsi:type="dcterms:W3CDTF">2026-06-26T04:27:00Z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0x0101004590CBE06C3BEF479E8D0DF6459AE0F1</vt:lpwstr>
  </property>
  <property fmtid="{D5CDD505-2E9C-101B-9397-08002B2CF9AE}" pid="3" name="MediaServiceImageTags">
    <vt:lpwstr/>
  </property>
</Properties>
</file>