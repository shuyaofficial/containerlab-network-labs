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ダッシュボード" sheetId="1" state="visible" r:id="rId1"/>
    <sheet xmlns:r="http://schemas.openxmlformats.org/officeDocument/2006/relationships" name="技術カタログ" sheetId="2" state="visible" r:id="rId2"/>
  </sheets>
  <definedNames>
    <definedName name="_xlnm._FilterDatabase" localSheetId="1" hidden="1">'技術カタログ'!$A$1:$J$44</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游ゴシック"/>
      <b val="1"/>
      <color rgb="00FFFFFF"/>
      <sz val="16"/>
    </font>
    <font>
      <name val="游ゴシック"/>
      <sz val="10"/>
    </font>
    <font>
      <name val="Segoe UI"/>
      <b val="1"/>
      <color rgb="001F4E78"/>
      <sz val="20"/>
    </font>
    <font>
      <name val="游ゴシック"/>
      <b val="1"/>
      <color rgb="001F4E78"/>
      <sz val="12"/>
    </font>
    <font>
      <name val="游ゴシック"/>
      <b val="1"/>
      <sz val="10"/>
    </font>
    <font>
      <name val="游ゴシック"/>
      <b val="1"/>
      <color rgb="00FFFFFF"/>
      <sz val="10"/>
    </font>
    <font>
      <name val="游ゴシック"/>
      <b val="1"/>
      <color rgb="00385723"/>
      <sz val="10"/>
    </font>
    <font>
      <name val="游ゴシック"/>
      <b val="1"/>
      <color rgb="007F6000"/>
      <sz val="10"/>
    </font>
    <font>
      <name val="游ゴシック"/>
      <b val="1"/>
      <color rgb="00C65911"/>
      <sz val="10"/>
    </font>
  </fonts>
  <fills count="10">
    <fill>
      <patternFill/>
    </fill>
    <fill>
      <patternFill patternType="gray125"/>
    </fill>
    <fill>
      <patternFill patternType="solid">
        <fgColor rgb="001F4E78"/>
        <bgColor rgb="001F4E78"/>
      </patternFill>
    </fill>
    <fill>
      <patternFill patternType="solid">
        <fgColor rgb="00E9EEF4"/>
        <bgColor rgb="00E9EEF4"/>
      </patternFill>
    </fill>
    <fill>
      <patternFill patternType="solid">
        <fgColor rgb="00D9E1F2"/>
        <bgColor rgb="00D9E1F2"/>
      </patternFill>
    </fill>
    <fill>
      <patternFill patternType="solid">
        <fgColor rgb="002F5597"/>
        <bgColor rgb="002F5597"/>
      </patternFill>
    </fill>
    <fill>
      <patternFill patternType="solid">
        <fgColor rgb="00F2F4F7"/>
        <bgColor rgb="00F2F4F7"/>
      </patternFill>
    </fill>
    <fill>
      <patternFill patternType="solid">
        <fgColor rgb="00E2F0D9"/>
        <bgColor rgb="00E2F0D9"/>
      </patternFill>
    </fill>
    <fill>
      <patternFill patternType="solid">
        <fgColor rgb="00FFF2CC"/>
        <bgColor rgb="00FFF2CC"/>
      </patternFill>
    </fill>
    <fill>
      <patternFill patternType="solid">
        <fgColor rgb="00FCE4D6"/>
        <bgColor rgb="00FCE4D6"/>
      </patternFill>
    </fill>
  </fills>
  <borders count="4">
    <border>
      <left/>
      <right/>
      <top/>
      <bottom/>
      <diagonal/>
    </border>
    <border>
      <left style="thin">
        <color rgb="00D9D9D9"/>
      </left>
      <right style="thin">
        <color rgb="00D9D9D9"/>
      </right>
      <top style="thin">
        <color rgb="00D9D9D9"/>
      </top>
      <bottom style="thin">
        <color rgb="00D9D9D9"/>
      </bottom>
    </border>
    <border>
      <top style="thin">
        <color rgb="00D9D9D9"/>
      </top>
      <bottom style="double">
        <color rgb="001F4E78"/>
      </bottom>
    </border>
    <border>
      <left style="thin">
        <color rgb="00D9D9D9"/>
      </left>
      <right style="thin">
        <color rgb="00D9D9D9"/>
      </right>
      <top style="thin">
        <color rgb="00D9D9D9"/>
      </top>
      <bottom style="medium">
        <color rgb="001F4E78"/>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horizontal="left" vertical="center"/>
    </xf>
    <xf numFmtId="0" fontId="3" fillId="3" borderId="1" applyAlignment="1" pivotButton="0" quotePrefix="0" xfId="0">
      <alignment horizontal="center" vertical="center" wrapText="1"/>
    </xf>
    <xf numFmtId="0" fontId="4" fillId="0" borderId="0" applyAlignment="1" pivotButton="0" quotePrefix="0" xfId="0">
      <alignment horizontal="left" vertical="center"/>
    </xf>
    <xf numFmtId="0" fontId="4" fillId="0" borderId="0" pivotButton="0" quotePrefix="0" xfId="0"/>
    <xf numFmtId="0" fontId="5" fillId="4" borderId="1" applyAlignment="1" pivotButton="0" quotePrefix="0" xfId="0">
      <alignment horizontal="center" vertical="center"/>
    </xf>
    <xf numFmtId="0" fontId="5" fillId="0" borderId="1" applyAlignment="1" pivotButton="0" quotePrefix="0" xfId="0">
      <alignment horizontal="left" vertical="center"/>
    </xf>
    <xf numFmtId="0" fontId="2" fillId="0" borderId="1" applyAlignment="1" pivotButton="0" quotePrefix="0" xfId="0">
      <alignment horizontal="center" vertical="center"/>
    </xf>
    <xf numFmtId="0" fontId="5" fillId="0" borderId="1" applyAlignment="1" pivotButton="0" quotePrefix="0" xfId="0">
      <alignment horizontal="center" vertical="center"/>
    </xf>
    <xf numFmtId="0" fontId="5" fillId="0" borderId="2" applyAlignment="1" pivotButton="0" quotePrefix="0" xfId="0">
      <alignment horizontal="left" vertical="center"/>
    </xf>
    <xf numFmtId="0" fontId="5" fillId="0" borderId="2" applyAlignment="1" pivotButton="0" quotePrefix="0" xfId="0">
      <alignment horizontal="center" vertical="center"/>
    </xf>
    <xf numFmtId="0" fontId="6" fillId="5" borderId="3" applyAlignment="1" pivotButton="0" quotePrefix="0" xfId="0">
      <alignment horizontal="center" vertical="center"/>
    </xf>
    <xf numFmtId="0" fontId="2" fillId="6" borderId="1" applyAlignment="1" pivotButton="0" quotePrefix="0" xfId="0">
      <alignment horizontal="center" vertical="center"/>
    </xf>
    <xf numFmtId="0" fontId="5" fillId="6" borderId="1" applyAlignment="1" pivotButton="0" quotePrefix="0" xfId="0">
      <alignment horizontal="center" vertical="center"/>
    </xf>
    <xf numFmtId="0" fontId="5" fillId="6" borderId="1" applyAlignment="1" pivotButton="0" quotePrefix="0" xfId="0">
      <alignment horizontal="left" vertical="center"/>
    </xf>
    <xf numFmtId="0" fontId="7" fillId="7" borderId="1" applyAlignment="1" pivotButton="0" quotePrefix="0" xfId="0">
      <alignment horizontal="center" vertical="center"/>
    </xf>
    <xf numFmtId="0" fontId="2" fillId="6" borderId="1" applyAlignment="1" pivotButton="0" quotePrefix="0" xfId="0">
      <alignment horizontal="left" vertical="center" wrapText="1"/>
    </xf>
    <xf numFmtId="0" fontId="2" fillId="6" borderId="1" applyAlignment="1" pivotButton="0" quotePrefix="0" xfId="0">
      <alignment horizontal="center" vertical="center" wrapText="1"/>
    </xf>
    <xf numFmtId="0" fontId="2" fillId="0" borderId="1" applyAlignment="1" pivotButton="0" quotePrefix="0" xfId="0">
      <alignment horizontal="left" vertical="center" wrapText="1"/>
    </xf>
    <xf numFmtId="0" fontId="2" fillId="0" borderId="1" applyAlignment="1" pivotButton="0" quotePrefix="0" xfId="0">
      <alignment horizontal="center" vertical="center" wrapText="1"/>
    </xf>
    <xf numFmtId="0" fontId="8" fillId="8" borderId="1" applyAlignment="1" pivotButton="0" quotePrefix="0" xfId="0">
      <alignment horizontal="center" vertical="center"/>
    </xf>
    <xf numFmtId="0" fontId="9" fillId="9"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showGridLines="1" workbookViewId="0">
      <selection activeCell="A1" sqref="A1"/>
    </sheetView>
  </sheetViews>
  <sheetFormatPr baseColWidth="8" defaultRowHeight="15"/>
  <cols>
    <col width="5" customWidth="1" min="1" max="1"/>
    <col width="24" customWidth="1" min="2" max="2"/>
    <col width="15" customWidth="1" min="3" max="3"/>
    <col width="15" customWidth="1" min="4" max="4"/>
    <col width="15" customWidth="1" min="5" max="5"/>
    <col width="15" customWidth="1" min="6" max="6"/>
    <col width="5" customWidth="1" min="7" max="7"/>
    <col width="40" customWidth="1" min="8" max="8"/>
  </cols>
  <sheetData>
    <row r="1">
      <c r="A1" s="1" t="inlineStr">
        <is>
          <t xml:space="preserve">  IETF RFC ネットワーク技術分析カタログ</t>
        </is>
      </c>
    </row>
    <row r="2"/>
    <row r="4">
      <c r="B4" s="2" t="inlineStr">
        <is>
          <t>本ドキュメントは、ワークスペースに収集された主要なRFC（IETF標準仕様）を読み込み、ネットワーク構築の実務観点から難易度・レイヤ・技術カテゴリごとに整理した分析用カタログです。</t>
        </is>
      </c>
    </row>
    <row r="6">
      <c r="B6" s="3" t="inlineStr">
        <is>
          <t>収録技術数
  43 件</t>
        </is>
      </c>
      <c r="C6" s="3" t="inlineStr">
        <is>
          <t>分類カテゴリ
   6 つ</t>
        </is>
      </c>
      <c r="D6" s="3" t="inlineStr">
        <is>
          <t>難易度レベル
   3 段階</t>
        </is>
      </c>
      <c r="H6" s="4" t="inlineStr">
        <is>
          <t>📚 クイック利用ガイド</t>
        </is>
      </c>
    </row>
    <row r="7"/>
    <row r="8">
      <c r="H8" s="2" t="inlineStr">
        <is>
          <t>1. 「技術カタログ」タブに全43件の詳細データがあります。</t>
        </is>
      </c>
    </row>
    <row r="9">
      <c r="B9" s="5" t="inlineStr">
        <is>
          <t>📊 カテゴリ×難易度別集計（カタログ連動）</t>
        </is>
      </c>
      <c r="H9" s="2" t="inlineStr">
        <is>
          <t>2. オートフィルターを使って、目的のレイヤや難易度を抽出できます。</t>
        </is>
      </c>
    </row>
    <row r="10">
      <c r="B10" s="6" t="inlineStr">
        <is>
          <t>技術カテゴリ</t>
        </is>
      </c>
      <c r="C10" s="6" t="inlineStr">
        <is>
          <t>初級</t>
        </is>
      </c>
      <c r="D10" s="6" t="inlineStr">
        <is>
          <t>中級</t>
        </is>
      </c>
      <c r="E10" s="6" t="inlineStr">
        <is>
          <t>上級</t>
        </is>
      </c>
      <c r="F10" s="6" t="inlineStr">
        <is>
          <t>小計</t>
        </is>
      </c>
      <c r="H10" s="2" t="inlineStr">
        <is>
          <t>3. 難易度レベルは実務における複雑さ・設計難度に基づきます：</t>
        </is>
      </c>
    </row>
    <row r="11">
      <c r="B11" s="7" t="inlineStr">
        <is>
          <t>TCP/IP基礎</t>
        </is>
      </c>
      <c r="C11" s="8">
        <f>COUNTIFS('技術カタログ'!D:D, "TCP/IP基礎", '技術カタログ'!E:E, "初級")</f>
        <v/>
      </c>
      <c r="D11" s="8">
        <f>COUNTIFS('技術カタログ'!D:D, "TCP/IP基礎", '技術カタログ'!E:E, "中級")</f>
        <v/>
      </c>
      <c r="E11" s="8">
        <f>COUNTIFS('技術カタログ'!D:D, "TCP/IP基礎", '技術カタログ'!E:E, "上級")</f>
        <v/>
      </c>
      <c r="F11" s="9">
        <f>SUM(C11:E11)</f>
        <v/>
      </c>
      <c r="H11" s="2" t="inlineStr">
        <is>
          <t xml:space="preserve">   - 初級：一般常識・基礎的なサービス (TCP, IPv4, DHCPなど)</t>
        </is>
      </c>
    </row>
    <row r="12">
      <c r="B12" s="7" t="inlineStr">
        <is>
          <t>ルーティング</t>
        </is>
      </c>
      <c r="C12" s="8">
        <f>COUNTIFS('技術カタログ'!D:D, "ルーティング", '技術カタログ'!E:E, "初級")</f>
        <v/>
      </c>
      <c r="D12" s="8">
        <f>COUNTIFS('技術カタログ'!D:D, "ルーティング", '技術カタログ'!E:E, "中級")</f>
        <v/>
      </c>
      <c r="E12" s="8">
        <f>COUNTIFS('技術カタログ'!D:D, "ルーティング", '技術カタログ'!E:E, "上級")</f>
        <v/>
      </c>
      <c r="F12" s="9">
        <f>SUM(C12:E12)</f>
        <v/>
      </c>
      <c r="H12" s="2" t="inlineStr">
        <is>
          <t xml:space="preserve">   - 中級：エンタープライズ構築必須 (OSPF, IPv6, IPsecなど)</t>
        </is>
      </c>
    </row>
    <row r="13">
      <c r="B13" s="7" t="inlineStr">
        <is>
          <t>データプレーン・仮想化</t>
        </is>
      </c>
      <c r="C13" s="8">
        <f>COUNTIFS('技術カタログ'!D:D, "データプレーン・仮想化", '技術カタログ'!E:E, "初級")</f>
        <v/>
      </c>
      <c r="D13" s="8">
        <f>COUNTIFS('技術カタログ'!D:D, "データプレーン・仮想化", '技術カタログ'!E:E, "中級")</f>
        <v/>
      </c>
      <c r="E13" s="8">
        <f>COUNTIFS('技術カタログ'!D:D, "データプレーン・仮想化", '技術カタログ'!E:E, "上級")</f>
        <v/>
      </c>
      <c r="F13" s="9">
        <f>SUM(C13:E13)</f>
        <v/>
      </c>
      <c r="H13" s="2" t="inlineStr">
        <is>
          <t xml:space="preserve">   - 上級：キャリア・DC・自動化向け (BGP, MPLS, EVPN, YANGなど)</t>
        </is>
      </c>
    </row>
    <row r="14">
      <c r="B14" s="7" t="inlineStr">
        <is>
          <t>管理・自動化</t>
        </is>
      </c>
      <c r="C14" s="8">
        <f>COUNTIFS('技術カタログ'!D:D, "管理・自動化", '技術カタログ'!E:E, "初級")</f>
        <v/>
      </c>
      <c r="D14" s="8">
        <f>COUNTIFS('技術カタログ'!D:D, "管理・自動化", '技術カタログ'!E:E, "中級")</f>
        <v/>
      </c>
      <c r="E14" s="8">
        <f>COUNTIFS('技術カタログ'!D:D, "管理・自動化", '技術カタログ'!E:E, "上級")</f>
        <v/>
      </c>
      <c r="F14" s="9">
        <f>SUM(C14:E14)</f>
        <v/>
      </c>
      <c r="H14" s="2" t="inlineStr">
        <is>
          <t>4. 本シート左側の「集計表」は右側のカタログと自動連動しています。</t>
        </is>
      </c>
    </row>
    <row r="15">
      <c r="B15" s="7" t="inlineStr">
        <is>
          <t>セキュリティ</t>
        </is>
      </c>
      <c r="C15" s="8">
        <f>COUNTIFS('技術カタログ'!D:D, "セキュリティ", '技術カタログ'!E:E, "初級")</f>
        <v/>
      </c>
      <c r="D15" s="8">
        <f>COUNTIFS('技術カタログ'!D:D, "セキュリティ", '技術カタログ'!E:E, "中級")</f>
        <v/>
      </c>
      <c r="E15" s="8">
        <f>COUNTIFS('技術カタログ'!D:D, "セキュリティ", '技術カタログ'!E:E, "上級")</f>
        <v/>
      </c>
      <c r="F15" s="9">
        <f>SUM(C15:E15)</f>
        <v/>
      </c>
    </row>
    <row r="16">
      <c r="B16" s="7" t="inlineStr">
        <is>
          <t>サービス・制御</t>
        </is>
      </c>
      <c r="C16" s="8">
        <f>COUNTIFS('技術カタログ'!D:D, "サービス・制御", '技術カタログ'!E:E, "初級")</f>
        <v/>
      </c>
      <c r="D16" s="8">
        <f>COUNTIFS('技術カタログ'!D:D, "サービス・制御", '技術カタログ'!E:E, "中級")</f>
        <v/>
      </c>
      <c r="E16" s="8">
        <f>COUNTIFS('技術カタログ'!D:D, "サービス・制御", '技術カタログ'!E:E, "上級")</f>
        <v/>
      </c>
      <c r="F16" s="9">
        <f>SUM(C16:E16)</f>
        <v/>
      </c>
    </row>
    <row r="17">
      <c r="B17" s="10" t="inlineStr">
        <is>
          <t>合計</t>
        </is>
      </c>
      <c r="C17" s="11">
        <f>SUM(C11:C16)</f>
        <v/>
      </c>
      <c r="D17" s="11">
        <f>SUM(D11:D16)</f>
        <v/>
      </c>
      <c r="E17" s="11">
        <f>SUM(E11:E16)</f>
        <v/>
      </c>
      <c r="F17" s="11">
        <f>SUM(F11:F16)</f>
        <v/>
      </c>
    </row>
  </sheetData>
  <mergeCells count="6">
    <mergeCell ref="D6:D7"/>
    <mergeCell ref="B4:H4"/>
    <mergeCell ref="H6:H7"/>
    <mergeCell ref="C6:C7"/>
    <mergeCell ref="A1:H2"/>
    <mergeCell ref="B6:B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4"/>
  <sheetViews>
    <sheetView showGridLines="1" workbookViewId="0">
      <pane ySplit="1" topLeftCell="A2" activePane="bottomLeft" state="frozen"/>
      <selection pane="bottomLeft" activeCell="A1" sqref="A1"/>
    </sheetView>
  </sheetViews>
  <sheetFormatPr baseColWidth="8" defaultRowHeight="15"/>
  <cols>
    <col width="6" customWidth="1" min="1" max="1"/>
    <col width="14" customWidth="1" min="2" max="2"/>
    <col width="35" customWidth="1" min="3" max="3"/>
    <col width="22" customWidth="1" min="4" max="4"/>
    <col width="14" customWidth="1" min="5" max="5"/>
    <col width="22" customWidth="1" min="6" max="6"/>
    <col width="55" customWidth="1" min="7" max="7"/>
    <col width="60" customWidth="1" min="8" max="8"/>
    <col width="18" customWidth="1" min="9" max="9"/>
    <col width="45" customWidth="1" min="10" max="10"/>
  </cols>
  <sheetData>
    <row r="1" ht="28" customHeight="1">
      <c r="A1" s="12" t="inlineStr">
        <is>
          <t>No.</t>
        </is>
      </c>
      <c r="B1" s="12" t="inlineStr">
        <is>
          <t>RFC番号</t>
        </is>
      </c>
      <c r="C1" s="12" t="inlineStr">
        <is>
          <t>技術名/プロトコル名</t>
        </is>
      </c>
      <c r="D1" s="12" t="inlineStr">
        <is>
          <t>カテゴリ</t>
        </is>
      </c>
      <c r="E1" s="12" t="inlineStr">
        <is>
          <t>難易度レベル</t>
        </is>
      </c>
      <c r="F1" s="12" t="inlineStr">
        <is>
          <t>OSI参照モデル階層</t>
        </is>
      </c>
      <c r="G1" s="12" t="inlineStr">
        <is>
          <t>概要・目的</t>
        </is>
      </c>
      <c r="H1" s="12" t="inlineStr">
        <is>
          <t>主要機能・特徴</t>
        </is>
      </c>
      <c r="I1" s="12" t="inlineStr">
        <is>
          <t>関連RFC</t>
        </is>
      </c>
      <c r="J1" s="12" t="inlineStr">
        <is>
          <t>関連ベンダー設定 (参考)</t>
        </is>
      </c>
    </row>
    <row r="2" ht="80" customHeight="1">
      <c r="A2" s="13" t="n">
        <v>1</v>
      </c>
      <c r="B2" s="14" t="inlineStr">
        <is>
          <t>RFC 791</t>
        </is>
      </c>
      <c r="C2" s="15" t="inlineStr">
        <is>
          <t>IPv4 (Internet Protocol Version 4)</t>
        </is>
      </c>
      <c r="D2" s="13" t="inlineStr">
        <is>
          <t>TCP/IP基礎</t>
        </is>
      </c>
      <c r="E2" s="16" t="inlineStr">
        <is>
          <t>初級</t>
        </is>
      </c>
      <c r="F2" s="13" t="inlineStr">
        <is>
          <t>ネットワーク層 (L3)</t>
        </is>
      </c>
      <c r="G2" s="17" t="inlineStr">
        <is>
          <t>インターネット上でデータをパケット単位で配送するための基本プロトコル。IPアドレス定義やフラグメンテーション（断片化）機能を提供。</t>
        </is>
      </c>
      <c r="H2" s="17" t="inlineStr">
        <is>
          <t>・32ビットIPアドレス体系
・ベストエフォート型の非コネクション型配送サービス
・パケット分割（フラグメンテーション）と再組み立て
・ヘッダーチェックサムとTTLによるループ防止</t>
        </is>
      </c>
      <c r="I2" s="18" t="inlineStr">
        <is>
          <t>RFC 793, RFC 8200</t>
        </is>
      </c>
      <c r="J2" s="17" t="inlineStr">
        <is>
          <t>Cisco: `interface` / `ip address`
Yamaha: `ip lan1 address`
Fortinet: `config system interface`</t>
        </is>
      </c>
    </row>
    <row r="3" ht="80" customHeight="1">
      <c r="A3" s="8" t="n">
        <v>2</v>
      </c>
      <c r="B3" s="9" t="inlineStr">
        <is>
          <t>RFC 793</t>
        </is>
      </c>
      <c r="C3" s="7" t="inlineStr">
        <is>
          <t>TCP (Transmission Control Protocol - Original)</t>
        </is>
      </c>
      <c r="D3" s="8" t="inlineStr">
        <is>
          <t>TCP/IP基礎</t>
        </is>
      </c>
      <c r="E3" s="16" t="inlineStr">
        <is>
          <t>初級</t>
        </is>
      </c>
      <c r="F3" s="8" t="inlineStr">
        <is>
          <t>トランスポート層 (L4)</t>
        </is>
      </c>
      <c r="G3" s="19" t="inlineStr">
        <is>
          <t>信頼性の高い接続型（コネクション型）のデータ転送を提供する、TCP/IPの中核をなすプロトコル。データの順序制御や再送制御を行う。</t>
        </is>
      </c>
      <c r="H3" s="19" t="inlineStr">
        <is>
          <t>・3ウェイ・ハンドシェイクによる確実なコネクション確立
・シーケンス番号を用いたパケットの順序保証と再送制御
・スライディングウィンドウによる受信バッファのフロー制御
・全二重通信およびバッファリング転送</t>
        </is>
      </c>
      <c r="I3" s="20" t="inlineStr">
        <is>
          <t>RFC 9293 (改訂版), RFC 791</t>
        </is>
      </c>
      <c r="J3" s="19" t="inlineStr">
        <is>
          <t>Cisco/Yamaha: TCPポート通信の許可（ACL設定・ポート番号23, 80等）</t>
        </is>
      </c>
    </row>
    <row r="4" ht="80" customHeight="1">
      <c r="A4" s="13" t="n">
        <v>3</v>
      </c>
      <c r="B4" s="14" t="inlineStr">
        <is>
          <t>RFC 9293</t>
        </is>
      </c>
      <c r="C4" s="15" t="inlineStr">
        <is>
          <t>TCP (Transmission Control Protocol - Specification)</t>
        </is>
      </c>
      <c r="D4" s="13" t="inlineStr">
        <is>
          <t>TCP/IP基礎</t>
        </is>
      </c>
      <c r="E4" s="16" t="inlineStr">
        <is>
          <t>初級</t>
        </is>
      </c>
      <c r="F4" s="13" t="inlineStr">
        <is>
          <t>トランスポート層 (L4)</t>
        </is>
      </c>
      <c r="G4" s="17" t="inlineStr">
        <is>
          <t>2022年に発行された、RFC 793等の多数の拡張・修正仕様を一本化した最新のTCP標準仕様書。</t>
        </is>
      </c>
      <c r="H4" s="17" t="inlineStr">
        <is>
          <t>・脆弱性およびセキュリティ問題（SYNフラッド等）への対応統合
・接続管理ルールおよびタイマー動作の明確化
・現代のTCP輻輳制御との親和性の整理
・複数のRFC（RFC 793, 1122等）の廃止・統合による一貫性向上</t>
        </is>
      </c>
      <c r="I4" s="18" t="inlineStr">
        <is>
          <t>RFC 793 (廃止), RFC 791</t>
        </is>
      </c>
      <c r="J4" s="17" t="inlineStr">
        <is>
          <t>OSおよび各社ネットワーク機器の最新ファームウェアにおけるTCPスタック全体</t>
        </is>
      </c>
    </row>
    <row r="5" ht="80" customHeight="1">
      <c r="A5" s="8" t="n">
        <v>4</v>
      </c>
      <c r="B5" s="9" t="inlineStr">
        <is>
          <t>RFC 2460</t>
        </is>
      </c>
      <c r="C5" s="7" t="inlineStr">
        <is>
          <t>IPv6 (Internet Protocol Version 6 - Original)</t>
        </is>
      </c>
      <c r="D5" s="8" t="inlineStr">
        <is>
          <t>TCP/IP基礎</t>
        </is>
      </c>
      <c r="E5" s="21" t="inlineStr">
        <is>
          <t>中級</t>
        </is>
      </c>
      <c r="F5" s="8" t="inlineStr">
        <is>
          <t>ネットワーク層 (L3)</t>
        </is>
      </c>
      <c r="G5" s="19" t="inlineStr">
        <is>
          <t>IPv4のアドレス枯渇問題に対応するために開発された、次世代IPプロトコルの初期の標準仕様書（RFC 8200により置き換え）。</t>
        </is>
      </c>
      <c r="H5" s="19" t="inlineStr">
        <is>
          <t>・128ビットアドレスへの拡張（事実上無限のアドレス空間）
・シンプルなヘッダー構造への改良によるルーター処理の高速化
・拡張ヘッダーの導入による柔軟な機能追加
・IPsecのビルトインサポート（必須化提案）</t>
        </is>
      </c>
      <c r="I5" s="20" t="inlineStr">
        <is>
          <t>RFC 8200 (改訂版), RFC 4291</t>
        </is>
      </c>
      <c r="J5" s="19" t="inlineStr">
        <is>
          <t>Cisco: `ipv6 unicast-routing`
Yamaha: `ipv6 route`</t>
        </is>
      </c>
    </row>
    <row r="6" ht="80" customHeight="1">
      <c r="A6" s="13" t="n">
        <v>5</v>
      </c>
      <c r="B6" s="14" t="inlineStr">
        <is>
          <t>RFC 8200</t>
        </is>
      </c>
      <c r="C6" s="15" t="inlineStr">
        <is>
          <t>IPv6 (Internet Protocol Version 6 - Specification)</t>
        </is>
      </c>
      <c r="D6" s="13" t="inlineStr">
        <is>
          <t>TCP/IP基礎</t>
        </is>
      </c>
      <c r="E6" s="21" t="inlineStr">
        <is>
          <t>中級</t>
        </is>
      </c>
      <c r="F6" s="13" t="inlineStr">
        <is>
          <t>ネットワーク層 (L3)</t>
        </is>
      </c>
      <c r="G6" s="17" t="inlineStr">
        <is>
          <t>2017年に策定された、現代のIPv6の正式な最新標準仕様。RFC 2460を置き換え、実務運用での調整結果を反映。</t>
        </is>
      </c>
      <c r="H6" s="17" t="inlineStr">
        <is>
          <t>・フラグメンテーションの送信元限定処理（ルーターでの分割処理の廃止）
·拡張ヘッダー処理ルールの厳格化によるセキュリティ向上
・フローラベルフィールドの役割の再定義（ロードバランシングへの活用）
・IPsecサポートの再定義（オプション化への調整）</t>
        </is>
      </c>
      <c r="I6" s="18" t="inlineStr">
        <is>
          <t>RFC 2460 (廃止), RFC 4291</t>
        </is>
      </c>
      <c r="J6" s="17" t="inlineStr">
        <is>
          <t>Cisco: `ipv6 address &lt;addr&gt;`, `ipv6 enable`
Yamaha: `ipv6 lan1 address &lt;addr&gt;`
Fortinet: インターフェースでの `IPv6` 有効化設定</t>
        </is>
      </c>
    </row>
    <row r="7" ht="80" customHeight="1">
      <c r="A7" s="8" t="n">
        <v>6</v>
      </c>
      <c r="B7" s="9" t="inlineStr">
        <is>
          <t>RFC 4291</t>
        </is>
      </c>
      <c r="C7" s="7" t="inlineStr">
        <is>
          <t>IPv6 Addressing Architecture</t>
        </is>
      </c>
      <c r="D7" s="8" t="inlineStr">
        <is>
          <t>TCP/IP基礎</t>
        </is>
      </c>
      <c r="E7" s="21" t="inlineStr">
        <is>
          <t>中級</t>
        </is>
      </c>
      <c r="F7" s="8" t="inlineStr">
        <is>
          <t>ネットワーク層 (L3)</t>
        </is>
      </c>
      <c r="G7" s="19" t="inlineStr">
        <is>
          <t>IPv6におけるアドレス体系と表記方法を定義したアーキテクチャ仕様書。ユニキャスト、マルチキャスト、エニーキャストの定義を含む。</t>
        </is>
      </c>
      <c r="H7" s="19" t="inlineStr">
        <is>
          <t>・アドレスの表記ルール（`::`によるゼロ圧縮など）の規定
・プレフィックス定義（リンクローカル：`fe80::/10`、マルチキャスト：`ff00::/8`、ループバック：`::1/128`）
・インターフェース識別子（EUI-64）の生成方法の定義
・ブロードキャストの廃止とマルチキャストへの統合</t>
        </is>
      </c>
      <c r="I7" s="20" t="inlineStr">
        <is>
          <t>RFC 8200, RFC 2460</t>
        </is>
      </c>
      <c r="J7" s="19" t="inlineStr">
        <is>
          <t>ネットワークアドレス設計（IPv6アドレス計画、サブネットマスク設計）</t>
        </is>
      </c>
    </row>
    <row r="8" ht="80" customHeight="1">
      <c r="A8" s="13" t="n">
        <v>7</v>
      </c>
      <c r="B8" s="14" t="inlineStr">
        <is>
          <t>RFC 1058</t>
        </is>
      </c>
      <c r="C8" s="15" t="inlineStr">
        <is>
          <t>RIP (Routing Information Protocol)</t>
        </is>
      </c>
      <c r="D8" s="13" t="inlineStr">
        <is>
          <t>ルーティング</t>
        </is>
      </c>
      <c r="E8" s="16" t="inlineStr">
        <is>
          <t>初級</t>
        </is>
      </c>
      <c r="F8" s="13" t="inlineStr">
        <is>
          <t>ネットワーク層 (L3)</t>
        </is>
      </c>
      <c r="G8" s="17" t="inlineStr">
        <is>
          <t>ディスタンスベクター型（距離ベクトル型）を採用した、歴史的な最初期のIGPルーティングプロトコル。</t>
        </is>
      </c>
      <c r="H8" s="17" t="inlineStr">
        <is>
          <t>・ホップ数（最大15、16は到達不能）をメトリックに使用
・30秒ごとのブロードキャストによるルーティングテーブル全体の転送
・スプリットホライズン、ポイズンリバースによるルーティングループ防止
・クラスフルルーティング限定（サブネットマスク情報を送信しない）</t>
        </is>
      </c>
      <c r="I8" s="18" t="inlineStr">
        <is>
          <t>RFC 2453</t>
        </is>
      </c>
      <c r="J8" s="17" t="inlineStr">
        <is>
          <t>Cisco: `router rip`
Yamaha: `rip use on`</t>
        </is>
      </c>
    </row>
    <row r="9" ht="80" customHeight="1">
      <c r="A9" s="8" t="n">
        <v>8</v>
      </c>
      <c r="B9" s="9" t="inlineStr">
        <is>
          <t>RFC 2453</t>
        </is>
      </c>
      <c r="C9" s="7" t="inlineStr">
        <is>
          <t>RIPv2 (Routing Information Protocol Version 2)</t>
        </is>
      </c>
      <c r="D9" s="8" t="inlineStr">
        <is>
          <t>ルーティング</t>
        </is>
      </c>
      <c r="E9" s="21" t="inlineStr">
        <is>
          <t>中級</t>
        </is>
      </c>
      <c r="F9" s="8" t="inlineStr">
        <is>
          <t>ネットワーク層 (L3)</t>
        </is>
      </c>
      <c r="G9" s="19" t="inlineStr">
        <is>
          <t>RIPv1（RFC 1058）の制限を解消し、クラスレスルーティングやマルチキャスト配信などを追加した改良版。</t>
        </is>
      </c>
      <c r="H9" s="19" t="inlineStr">
        <is>
          <t>・サブネットマスク情報の送信サポート（CIDRおよびVLSMに対応）
・マルチキャスト（`224.0.0.9`）によるルーティングアップデート（不要な端末負荷軽減）
・ネイバー間での平文およびMD5認証のサポート
・次ホップ（Next Hop）アドレスの明示機能の追加</t>
        </is>
      </c>
      <c r="I9" s="20" t="inlineStr">
        <is>
          <t>RFC 1058</t>
        </is>
      </c>
      <c r="J9" s="19" t="inlineStr">
        <is>
          <t>Cisco: `router rip` -&gt; `version 2`
Yamaha: `rip use on` -&gt; `rip classless on`</t>
        </is>
      </c>
    </row>
    <row r="10" ht="80" customHeight="1">
      <c r="A10" s="13" t="n">
        <v>9</v>
      </c>
      <c r="B10" s="14" t="inlineStr">
        <is>
          <t>RFC 2328</t>
        </is>
      </c>
      <c r="C10" s="15" t="inlineStr">
        <is>
          <t>OSPFv2 (Open Shortest Path First Version 2)</t>
        </is>
      </c>
      <c r="D10" s="13" t="inlineStr">
        <is>
          <t>ルーティング</t>
        </is>
      </c>
      <c r="E10" s="21" t="inlineStr">
        <is>
          <t>中級</t>
        </is>
      </c>
      <c r="F10" s="13" t="inlineStr">
        <is>
          <t>ネットワーク層 (L3)</t>
        </is>
      </c>
      <c r="G10" s="17" t="inlineStr">
        <is>
          <t>IPv4ネットワークで最も広く使用されている、リンクステート型のオープンなIGPプロトコル。</t>
        </is>
      </c>
      <c r="H10" s="17" t="inlineStr">
        <is>
          <t>・ダイクストラアルゴリズム（SPF）による最短経路木（SPT）の動的計算
・エリア概念による大規模ネットワークの階層化とLSA伝播抑制
・LSA（Link State Advertisement）の差分および定期同期（30分）
・DR（Designated Router）/ BDR選定によるマルチアクセス網でのネイバー数削減</t>
        </is>
      </c>
      <c r="I10" s="18" t="inlineStr">
        <is>
          <t>RFC 5340, RFC 5880</t>
        </is>
      </c>
      <c r="J10" s="17" t="inlineStr">
        <is>
          <t>Cisco: `router ospf &lt;id&gt;` -&gt; `network &lt;ip&gt; &lt;wildcard&gt; area &lt;area&gt;`
Yamaha: `ospf use on`
Fortinet: `config router ospf`</t>
        </is>
      </c>
    </row>
    <row r="11" ht="80" customHeight="1">
      <c r="A11" s="8" t="n">
        <v>10</v>
      </c>
      <c r="B11" s="9" t="inlineStr">
        <is>
          <t>RFC 5340</t>
        </is>
      </c>
      <c r="C11" s="7" t="inlineStr">
        <is>
          <t>OSPFv3 (OSPF for IPv6)</t>
        </is>
      </c>
      <c r="D11" s="8" t="inlineStr">
        <is>
          <t>ルーティング</t>
        </is>
      </c>
      <c r="E11" s="22" t="inlineStr">
        <is>
          <t>上級</t>
        </is>
      </c>
      <c r="F11" s="8" t="inlineStr">
        <is>
          <t>ネットワーク層 (L3)</t>
        </is>
      </c>
      <c r="G11" s="19" t="inlineStr">
        <is>
          <t>OSPFv2をIPv6に対応させるために拡張されたルーティングプロトコルの仕様書。</t>
        </is>
      </c>
      <c r="H11" s="19" t="inlineStr">
        <is>
          <t>・プロトコル処理とIPアドレスの分離（IPアドレスではなくリンク上で動作）
・新しいLSAタイプ（Link-LSA, Intra-Area-Prefix-LSA）の導入による役割分担
・IPsecによるネイバー認証および暗号化の共通利用（OSPFv3独自の認証を廃止）
・1つのリンク上で複数のOSPFプロセスを起動可能なインスタンスIDの導入</t>
        </is>
      </c>
      <c r="I11" s="20" t="inlineStr">
        <is>
          <t>RFC 2328, RFC 8200</t>
        </is>
      </c>
      <c r="J11" s="19" t="inlineStr">
        <is>
          <t>Cisco: `ipv6 router ospf &lt;id&gt;` -&gt; インターフェースで `ipv6 ospf &lt;id&gt; area &lt;area&gt;`
Fortinet: `config router ospf6`</t>
        </is>
      </c>
    </row>
    <row r="12" ht="80" customHeight="1">
      <c r="A12" s="13" t="n">
        <v>11</v>
      </c>
      <c r="B12" s="14" t="inlineStr">
        <is>
          <t>RFC 1195</t>
        </is>
      </c>
      <c r="C12" s="15" t="inlineStr">
        <is>
          <t>Integrated IS-IS (Intermediate System to Intermediate System)</t>
        </is>
      </c>
      <c r="D12" s="13" t="inlineStr">
        <is>
          <t>ルーティング</t>
        </is>
      </c>
      <c r="E12" s="22" t="inlineStr">
        <is>
          <t>上級</t>
        </is>
      </c>
      <c r="F12" s="13" t="inlineStr">
        <is>
          <t>ネットワーク層 (L3)</t>
        </is>
      </c>
      <c r="G12" s="17" t="inlineStr">
        <is>
          <t>本来OSIプロトコル用に開発されたIS-ISルーティングプロトコルを、IP（IPv4）のルーティングも同時に行えるように拡張した仕様書。</t>
        </is>
      </c>
      <c r="H12" s="17" t="inlineStr">
        <is>
          <t>・リンクステート型アルゴリズム、IPとCLNPの統合ルーティング
・ネットワーク層上で直接動作するため、IPヘッダー不要（IPパケットの攻撃から強固）
・柔軟なTLV（Type-Length-Value）構造による高度な機能拡張性
・レベル1（エリア内）とレベル2（エリア間）による柔軟な階層設計</t>
        </is>
      </c>
      <c r="I12" s="18" t="inlineStr">
        <is>
          <t>RFC 5308</t>
        </is>
      </c>
      <c r="J12" s="17" t="inlineStr">
        <is>
          <t>Cisco: `router isis` -&gt; `net &lt;net-title&gt;`
Juniper: `set protocols isis interface &lt;name&gt;`</t>
        </is>
      </c>
    </row>
    <row r="13" ht="80" customHeight="1">
      <c r="A13" s="8" t="n">
        <v>12</v>
      </c>
      <c r="B13" s="9" t="inlineStr">
        <is>
          <t>RFC 5308</t>
        </is>
      </c>
      <c r="C13" s="7" t="inlineStr">
        <is>
          <t>Routing IPv6 with IS-IS</t>
        </is>
      </c>
      <c r="D13" s="8" t="inlineStr">
        <is>
          <t>ルーティング</t>
        </is>
      </c>
      <c r="E13" s="22" t="inlineStr">
        <is>
          <t>上級</t>
        </is>
      </c>
      <c r="F13" s="8" t="inlineStr">
        <is>
          <t>ネットワーク層 (L3)</t>
        </is>
      </c>
      <c r="G13" s="19" t="inlineStr">
        <is>
          <t>Integrated IS-ISを拡張し、IPv6プレフィックスのルーティングをサポートするための仕様を定義。</t>
        </is>
      </c>
      <c r="H13" s="19" t="inlineStr">
        <is>
          <t>・新しいTLV（IPv6 Reachability TLV, IPv6 Interface Address TLV）の定義
・マルチトポロジー技術により、IPv4とIPv6で別々のネットワークトポロジーを構築可能
・IS-ISの持つTLV構造の優位性を活かしたシームレスなIPv6導入の実現</t>
        </is>
      </c>
      <c r="I13" s="20" t="inlineStr">
        <is>
          <t>RFC 1195, RFC 8200</t>
        </is>
      </c>
      <c r="J13" s="19" t="inlineStr">
        <is>
          <t>Cisco: `router isis` -&gt; `address-family ipv6`
Juniper: `set protocols isis interface &lt;name&gt; family inet6`</t>
        </is>
      </c>
    </row>
    <row r="14" ht="80" customHeight="1">
      <c r="A14" s="13" t="n">
        <v>13</v>
      </c>
      <c r="B14" s="14" t="inlineStr">
        <is>
          <t>RFC 4271</t>
        </is>
      </c>
      <c r="C14" s="15" t="inlineStr">
        <is>
          <t>BGP-4 (Border Gateway Protocol 4)</t>
        </is>
      </c>
      <c r="D14" s="13" t="inlineStr">
        <is>
          <t>ルーティング</t>
        </is>
      </c>
      <c r="E14" s="22" t="inlineStr">
        <is>
          <t>上級</t>
        </is>
      </c>
      <c r="F14" s="13" t="inlineStr">
        <is>
          <t>アプリケーション層 (L7)</t>
        </is>
      </c>
      <c r="G14" s="17" t="inlineStr">
        <is>
          <t>インターネット（自律システム AS 間）の経路制御を司る、パスベクター型のインターネット標準ルーティングプロトコル。</t>
        </is>
      </c>
      <c r="H14" s="17" t="inlineStr">
        <is>
          <t>・ASパス（AS-PATH）による絶対的な経路ループ防止メカニズム
・パス属性（AS-PATH, NEXT_HOP, LOCAL_PREF, MED）を用いた柔軟なポリシー制御
・TCPポート179による信頼性の高いネイバー接続（ピアリング）の確立
・インタードメイン（AS間：eBGP）とイントラドメイン（AS内：iBGP）の定義</t>
        </is>
      </c>
      <c r="I14" s="18" t="inlineStr">
        <is>
          <t>RFC 4760, RFC 1997, RFC 4364</t>
        </is>
      </c>
      <c r="J14" s="17" t="inlineStr">
        <is>
          <t>Cisco: `router bgp &lt;as&gt;` -&gt; `neighbor &lt;ip&gt; remote-as &lt;as&gt;`
Fortinet: `config router bgp`
Yamaha: `bgp use on`</t>
        </is>
      </c>
    </row>
    <row r="15" ht="80" customHeight="1">
      <c r="A15" s="8" t="n">
        <v>14</v>
      </c>
      <c r="B15" s="9" t="inlineStr">
        <is>
          <t>RFC 4760</t>
        </is>
      </c>
      <c r="C15" s="7" t="inlineStr">
        <is>
          <t>Multiprotocol Extensions for BGP-4 (MP-BGP)</t>
        </is>
      </c>
      <c r="D15" s="8" t="inlineStr">
        <is>
          <t>ルーティング</t>
        </is>
      </c>
      <c r="E15" s="22" t="inlineStr">
        <is>
          <t>上級</t>
        </is>
      </c>
      <c r="F15" s="8" t="inlineStr">
        <is>
          <t>アプリケーション層 (L7)</t>
        </is>
      </c>
      <c r="G15" s="19" t="inlineStr">
        <is>
          <t>BGP-4を拡張し、IPv4ユニキャスト以外の様々なアドレスファミリー（IPv6, MPLS VPN, EVPNなど）の経路情報を広報可能にする仕様。</t>
        </is>
      </c>
      <c r="H15" s="19" t="inlineStr">
        <is>
          <t>・AFI（Address Family Identifier）とSAFIによる様々な構造化データのカプセル化
・新しい属性（MP_REACH_NLRI, MP_UNREACH_NLRI）の定義による宛先情報の搬送
・1つのBGPピア関係上で複数の異なるネットワークプロトコルの同時交換の実現</t>
        </is>
      </c>
      <c r="I15" s="20" t="inlineStr">
        <is>
          <t>RFC 4271, RFC 4364, RFC 7432</t>
        </is>
      </c>
      <c r="J15" s="19" t="inlineStr">
        <is>
          <t>Cisco: `router bgp &lt;as&gt;` -&gt; `address-family ipv6 unicast` / `address-family vpnv4`
Juniper: `set protocols bgp group &lt;name&gt; family inet-vpn unicast`</t>
        </is>
      </c>
    </row>
    <row r="16" ht="80" customHeight="1">
      <c r="A16" s="13" t="n">
        <v>15</v>
      </c>
      <c r="B16" s="14" t="inlineStr">
        <is>
          <t>RFC 1997</t>
        </is>
      </c>
      <c r="C16" s="15" t="inlineStr">
        <is>
          <t>BGP Communities Attribute</t>
        </is>
      </c>
      <c r="D16" s="13" t="inlineStr">
        <is>
          <t>ルーティング</t>
        </is>
      </c>
      <c r="E16" s="22" t="inlineStr">
        <is>
          <t>上級</t>
        </is>
      </c>
      <c r="F16" s="13" t="inlineStr">
        <is>
          <t>アプリケーション層 (L7)</t>
        </is>
      </c>
      <c r="G16" s="17" t="inlineStr">
        <is>
          <t>BGPの経路情報に対して「グループタグ（コミュニティ）」を付与し、AS間またはAS内でのポリシー制御を容易にする拡張仕様。</t>
        </is>
      </c>
      <c r="H16" s="17" t="inlineStr">
        <is>
          <t>・32ビット数値のコミュニティ値（通常 `AS:Value` 表記）をルート情報に添付
・標準的な定義済みコミュニティ（NO_EXPORT, NO_ADVERTISE, NOPEER, LOCAL_AS）の規定
・複雑なルートフィルタリングや優先度変更の共通トリガーとしての動作</t>
        </is>
      </c>
      <c r="I16" s="18" t="inlineStr">
        <is>
          <t>RFC 4271</t>
        </is>
      </c>
      <c r="J16" s="17" t="inlineStr">
        <is>
          <t>Cisco: `neighbor &lt;ip&gt; send-community`, `set community &lt;val&gt;`
Fortinet: `set send-community` 有効化</t>
        </is>
      </c>
    </row>
    <row r="17" ht="80" customHeight="1">
      <c r="A17" s="8" t="n">
        <v>16</v>
      </c>
      <c r="B17" s="9" t="inlineStr">
        <is>
          <t>RFC 4786</t>
        </is>
      </c>
      <c r="C17" s="7" t="inlineStr">
        <is>
          <t>Operation of Anycast Services</t>
        </is>
      </c>
      <c r="D17" s="8" t="inlineStr">
        <is>
          <t>ルーティング</t>
        </is>
      </c>
      <c r="E17" s="21" t="inlineStr">
        <is>
          <t>中級</t>
        </is>
      </c>
      <c r="F17" s="8" t="inlineStr">
        <is>
          <t>ネットワーク層 (L3)</t>
        </is>
      </c>
      <c r="G17" s="19" t="inlineStr">
        <is>
          <t>同一のIPアドレスを複数の物理ノードに割り当て、ルーティングプロトコルによってクライアントから最も近い場所にトラフィックを誘導するエニーキャスト技術の運用ガイドライン。</t>
        </is>
      </c>
      <c r="H17" s="19" t="inlineStr">
        <is>
          <t>・最短ルートノードへの自動バインドによる応答速度向上と負荷分散
・単一障害点の排除（サービス継続性の向上）およびDDoS攻撃の地域分散化
・DNSルートサーバー、DNSパブリックサービス（`8.8.8.8`等）、CDNで不可欠な設計方式</t>
        </is>
      </c>
      <c r="I17" s="20" t="inlineStr">
        <is>
          <t>RFC 791, RFC 8200</t>
        </is>
      </c>
      <c r="J17" s="19" t="inlineStr">
        <is>
          <t>サーバーへのホストアドレス（`/32` / `/128`）設定およびルーターによる動的ルート広報</t>
        </is>
      </c>
    </row>
    <row r="18" ht="80" customHeight="1">
      <c r="A18" s="13" t="n">
        <v>17</v>
      </c>
      <c r="B18" s="14" t="inlineStr">
        <is>
          <t>RFC 3031</t>
        </is>
      </c>
      <c r="C18" s="15" t="inlineStr">
        <is>
          <t>MPLS Architecture (Multiprotocol Label Switching)</t>
        </is>
      </c>
      <c r="D18" s="13" t="inlineStr">
        <is>
          <t>データプレーン・仮想化</t>
        </is>
      </c>
      <c r="E18" s="22" t="inlineStr">
        <is>
          <t>上級</t>
        </is>
      </c>
      <c r="F18" s="13" t="inlineStr">
        <is>
          <t>データリンク層とネットワーク層の中間 (L2.5)</t>
        </is>
      </c>
      <c r="G18" s="17" t="inlineStr">
        <is>
          <t>IPヘッダーの代わりに「ラベル」と呼ばれる固定長タグを用いて高速なパケット転送を行うMPLSの基本アーキテクチャ。</t>
        </is>
      </c>
      <c r="H18" s="17" t="inlineStr">
        <is>
          <t>・IPアドレス解析不要なLSR（Label Switch Router）での超高速ラベルスイッチング（Swap）
・LER（Label Edge Router）でのラベル付与（Push）と剥奪（Pop）処理
・FEC（Forwarding Equivalence Class）によるトラフィックの同一ラベルグループ分類
・LDP（Label Distribution Protocol）などのラベル配布プロトコルとの連携設計</t>
        </is>
      </c>
      <c r="I18" s="18" t="inlineStr">
        <is>
          <t>RFC 3032, RFC 3209, RFC 4364</t>
        </is>
      </c>
      <c r="J18" s="17" t="inlineStr">
        <is>
          <t>Cisco: `mpls ip`, `mpls label protocol ldp`
Juniper: `set protocols mpls` / `set interfaces &lt;name&gt; unit 0 family mpls`</t>
        </is>
      </c>
    </row>
    <row r="19" ht="80" customHeight="1">
      <c r="A19" s="8" t="n">
        <v>18</v>
      </c>
      <c r="B19" s="9" t="inlineStr">
        <is>
          <t>RFC 3032</t>
        </is>
      </c>
      <c r="C19" s="7" t="inlineStr">
        <is>
          <t>MPLS Label Stack Encoding</t>
        </is>
      </c>
      <c r="D19" s="8" t="inlineStr">
        <is>
          <t>データプレーン・仮想化</t>
        </is>
      </c>
      <c r="E19" s="22" t="inlineStr">
        <is>
          <t>上級</t>
        </is>
      </c>
      <c r="F19" s="8" t="inlineStr">
        <is>
          <t>データリンク層とネットワーク層の中間 (L2.5)</t>
        </is>
      </c>
      <c r="G19" s="19" t="inlineStr">
        <is>
          <t>MPLSで使用されるラベルのフォーマットおよびカプセル化方法（ラベルスタック）を定義したエンコーディング仕様。</t>
        </is>
      </c>
      <c r="H19" s="19" t="inlineStr">
        <is>
          <t>・4バイト（32ビット）のシムヘッダー（Shim Header）構造の定義
・20ビットのラベル値、3ビットのTraffic Class（CoS/QoS）、1ビットのBottom of Stack（Sフラグ）
・8ビットのTTLフィールドによるパケットループ防止制御
・複数ラベルを重ねる「ラベルスタック」方式による多段トンネリング（VPN、TE）対応</t>
        </is>
      </c>
      <c r="I19" s="20" t="inlineStr">
        <is>
          <t>RFC 3031</t>
        </is>
      </c>
      <c r="J19" s="19" t="inlineStr">
        <is>
          <t>MPLSデータプレーンパケット解析（Wireshark等によるトラブルシューティング）</t>
        </is>
      </c>
    </row>
    <row r="20" ht="80" customHeight="1">
      <c r="A20" s="13" t="n">
        <v>19</v>
      </c>
      <c r="B20" s="14" t="inlineStr">
        <is>
          <t>RFC 3209</t>
        </is>
      </c>
      <c r="C20" s="15" t="inlineStr">
        <is>
          <t>RSVP-TE (RSVP for LSP Tunnels)</t>
        </is>
      </c>
      <c r="D20" s="13" t="inlineStr">
        <is>
          <t>データプレーン・仮想化</t>
        </is>
      </c>
      <c r="E20" s="22" t="inlineStr">
        <is>
          <t>上級</t>
        </is>
      </c>
      <c r="F20" s="13" t="inlineStr">
        <is>
          <t>トランスポート層 (L4) / 制御プレーン</t>
        </is>
      </c>
      <c r="G20" s="17" t="inlineStr">
        <is>
          <t>リソース予約プロトコル（RSVP）を拡張し、MPLSネットワークにおいて明示的な経路（LSPトンネル）を確立しトラフィックエンジニアリング（TE）を実現するためのシグナリングプロトコル。</t>
        </is>
      </c>
      <c r="H20" s="17" t="inlineStr">
        <is>
          <t>・動的かつ明示的な経路指定（Explicit Route Object - ERO）のサポート
・経路上のノードでの帯域予約および接続確立可否（アドミッション制御）判定
・障害発生時の代替バイパス経路による50ms以下の超高速切り替え（Fast Reroute - FRR）</t>
        </is>
      </c>
      <c r="I20" s="18" t="inlineStr">
        <is>
          <t>RFC 3031, RFC 3032</t>
        </is>
      </c>
      <c r="J20" s="17" t="inlineStr">
        <is>
          <t>Cisco: `mpls traffic-eng tunnels`, `ip rsvp bandwidth &lt;kbps&gt;`
Juniper: `set protocols rsvp interface &lt;name&gt;`</t>
        </is>
      </c>
    </row>
    <row r="21" ht="80" customHeight="1">
      <c r="A21" s="8" t="n">
        <v>20</v>
      </c>
      <c r="B21" s="9" t="inlineStr">
        <is>
          <t>RFC 4364</t>
        </is>
      </c>
      <c r="C21" s="7" t="inlineStr">
        <is>
          <t>BGP/MPLS IP VPNs (L3VPN)</t>
        </is>
      </c>
      <c r="D21" s="8" t="inlineStr">
        <is>
          <t>データプレーン・仮想化</t>
        </is>
      </c>
      <c r="E21" s="22" t="inlineStr">
        <is>
          <t>上級</t>
        </is>
      </c>
      <c r="F21" s="8" t="inlineStr">
        <is>
          <t>ネットワーク層 (L3)</t>
        </is>
      </c>
      <c r="G21" s="19" t="inlineStr">
        <is>
          <t>通信事業者のMPLSバックボーンネットワーク上で、BGPを用いて複数の独立した顧客VPN（L3VPN）を構築・提供するための標準技術。</t>
        </is>
      </c>
      <c r="H21" s="19" t="inlineStr">
        <is>
          <t>・VRF（Virtual Routing and Forwarding）による物理共有ルーター内での顧客別仮想ルーティング分離
・RD（Route Distinguisher）による顧客間で重複するIPアドレスのユニーク化
・RT（Route Target）属性によるVPN間の経路インポート/エクスポート制御
・2ラベル構成（外側：バックボーン転送用、内側：対向PE側での顧客VRF識別用）</t>
        </is>
      </c>
      <c r="I21" s="20" t="inlineStr">
        <is>
          <t>RFC 3031, RFC 4271, RFC 4760</t>
        </is>
      </c>
      <c r="J21" s="19" t="inlineStr">
        <is>
          <t>Cisco: `ip vrf &lt;name&gt;`, `rd &lt;rd&gt;`, `route-target both &lt;rt&gt;`
Juniper: `set routing-instances &lt;name&gt; instance-type vrf`</t>
        </is>
      </c>
    </row>
    <row r="22" ht="80" customHeight="1">
      <c r="A22" s="13" t="n">
        <v>21</v>
      </c>
      <c r="B22" s="14" t="inlineStr">
        <is>
          <t>RFC 4762</t>
        </is>
      </c>
      <c r="C22" s="15" t="inlineStr">
        <is>
          <t>VPLS using LDP (Virtual Private LAN Service)</t>
        </is>
      </c>
      <c r="D22" s="13" t="inlineStr">
        <is>
          <t>データプレーン・仮想化</t>
        </is>
      </c>
      <c r="E22" s="22" t="inlineStr">
        <is>
          <t>上級</t>
        </is>
      </c>
      <c r="F22" s="13" t="inlineStr">
        <is>
          <t>データリンク層 (L2)</t>
        </is>
      </c>
      <c r="G22" s="17" t="inlineStr">
        <is>
          <t>MPLSバックボーン上に、広域の仮想レイヤ2（イーサネット）LANを構築するための技術仕様書。ラベル配布にLDPを使用する方式を規定。</t>
        </is>
      </c>
      <c r="H22" s="17" t="inlineStr">
        <is>
          <t>・離れた拠点を同一のレイヤ2ブロードキャストドメインで接続可能にする疑似ワイヤ（PW）の展開
・PEルーターによるMACアドレス学習およびパケットのブリッジフォワーディング制御
・スプリットホライズン技術によるフルメッシュ接続（PW間）でのループ防止機構の確立</t>
        </is>
      </c>
      <c r="I22" s="18" t="inlineStr">
        <is>
          <t>RFC 3031, RFC 3032</t>
        </is>
      </c>
      <c r="J22" s="17" t="inlineStr">
        <is>
          <t>Cisco: `l2 vfi &lt;name&gt; manual` -&gt; `neighbor &lt;ip&gt; pw-class &lt;class&gt;`
Juniper: `set routing-instances &lt;name&gt; instance-type vpls`</t>
        </is>
      </c>
    </row>
    <row r="23" ht="80" customHeight="1">
      <c r="A23" s="8" t="n">
        <v>22</v>
      </c>
      <c r="B23" s="9" t="inlineStr">
        <is>
          <t>RFC 7348</t>
        </is>
      </c>
      <c r="C23" s="7" t="inlineStr">
        <is>
          <t>VXLAN (Virtual Extensible LAN)</t>
        </is>
      </c>
      <c r="D23" s="8" t="inlineStr">
        <is>
          <t>データプレーン・仮想化</t>
        </is>
      </c>
      <c r="E23" s="22" t="inlineStr">
        <is>
          <t>上級</t>
        </is>
      </c>
      <c r="F23" s="8" t="inlineStr">
        <is>
          <t>データリンク層 (L2) ※UDP(L4)でカプセル化</t>
        </is>
      </c>
      <c r="G23" s="19" t="inlineStr">
        <is>
          <t>主にデータセンターのネットワークスケーラビリティ課題を解決するために考案された、レイヤ2イーサネットフレームをレイヤ3（UDP/IP）パケットでカプセル化するトンネリング技術。</t>
        </is>
      </c>
      <c r="H23" s="19" t="inlineStr">
        <is>
          <t>・VLANの限界（4,096個）を大幅突破する24ビットのVNI（最大約1,600万セグメント）をサポート
・VTEP（VXLAN Tunnel End Point）によるカプセル化（L2 to L3/UDP）および非カプセル化制御
・外側UDPポート番号の送信元ポートにL2ヘッダーハッシュ値を利用したECMPマルチパス転送の最適化
・L3 IPルーティング網上でレイヤ2延伸を実現するオーバーレイファブリックの基盤</t>
        </is>
      </c>
      <c r="I23" s="20" t="inlineStr">
        <is>
          <t>RFC 7432, RFC 8365</t>
        </is>
      </c>
      <c r="J23" s="19" t="inlineStr">
        <is>
          <t>Cisco: `interface nve 1` -&gt; `member vni &lt;vni&gt;`
Fortinet: `config system vxlan` -&gt; `edit &lt;name&gt;`</t>
        </is>
      </c>
    </row>
    <row r="24" ht="80" customHeight="1">
      <c r="A24" s="13" t="n">
        <v>23</v>
      </c>
      <c r="B24" s="14" t="inlineStr">
        <is>
          <t>RFC 7432</t>
        </is>
      </c>
      <c r="C24" s="15" t="inlineStr">
        <is>
          <t>BGP MPLS-Based EVPN (Ethernet VPN)</t>
        </is>
      </c>
      <c r="D24" s="13" t="inlineStr">
        <is>
          <t>データプレーン・仮想化</t>
        </is>
      </c>
      <c r="E24" s="22" t="inlineStr">
        <is>
          <t>上級</t>
        </is>
      </c>
      <c r="F24" s="13" t="inlineStr">
        <is>
          <t>データリンク層 (L2) ※MP-BGPで制御</t>
        </is>
      </c>
      <c r="G24" s="17" t="inlineStr">
        <is>
          <t>レイヤ2のMACアドレス情報やレイヤ3のIP情報をBGPの経路情報（コントロールプレーン）として配信し、柔軟でスケーラブルなマルチホームVPN網を提供する次世代イーサネットVPN技術。</t>
        </is>
      </c>
      <c r="H24" s="17" t="inlineStr">
        <is>
          <t>・従来のデータプレーン学習（フラッディング）からBGPコントロールプレーン学習へのシフト
・ARP抑制（ARP Suppression）機能による未知のユニキャストフラッディングの極小化
・アクティブ/アクティブマルチホーミング（All-Active）および負荷分散（エイリアシング機能）のサポート
・L2VPN/L3VPNの統合制御およびMACアドレスフラッピングの高速検出</t>
        </is>
      </c>
      <c r="I24" s="18" t="inlineStr">
        <is>
          <t>RFC 4271, RFC 4760, RFC 7348, RFC 8365</t>
        </is>
      </c>
      <c r="J24" s="17" t="inlineStr">
        <is>
          <t>Cisco: `l2vpn evpn` -&gt; `evpn multisite`
Juniper: `set protocols evpn encapsulation mpls`</t>
        </is>
      </c>
    </row>
    <row r="25" ht="80" customHeight="1">
      <c r="A25" s="8" t="n">
        <v>24</v>
      </c>
      <c r="B25" s="9" t="inlineStr">
        <is>
          <t>RFC 8365</t>
        </is>
      </c>
      <c r="C25" s="7" t="inlineStr">
        <is>
          <t>NVO3 EVPN (Network Virtualization Overlay over L3 Networks using EVPN)</t>
        </is>
      </c>
      <c r="D25" s="8" t="inlineStr">
        <is>
          <t>データプレーン・仮想化</t>
        </is>
      </c>
      <c r="E25" s="22" t="inlineStr">
        <is>
          <t>上級</t>
        </is>
      </c>
      <c r="F25" s="8" t="inlineStr">
        <is>
          <t>データリンク層 (L2)</t>
        </is>
      </c>
      <c r="G25" s="19" t="inlineStr">
        <is>
          <t>EVPNを制御プレーンとして用い、データプレーンとしてVXLAN、NVGRE、MPLS over GREなどの様々な仮想オーバーレイ技術を組み合わせて統合運用するためのフレームワーク定義。</t>
        </is>
      </c>
      <c r="H25" s="19" t="inlineStr">
        <is>
          <t>・VXLANデータプレーンとEVPNコントロールプレーンの強固な統合（VXLAN-EVPN規格の主導）
・データセンター相互接続（DCI）への応用およびエンドツーエンドのL2オーバーレイ設計方式
・マルチベンダー環境における相互接続性（インターオペラビリティ）を担保する標準フレームワーク</t>
        </is>
      </c>
      <c r="I25" s="20" t="inlineStr">
        <is>
          <t>RFC 7348, RFC 7432</t>
        </is>
      </c>
      <c r="J25" s="19" t="inlineStr">
        <is>
          <t>Cisco / Juniper / Arista における VXLAN EVPN データセンターファブリックの構築設定</t>
        </is>
      </c>
    </row>
    <row r="26" ht="80" customHeight="1">
      <c r="A26" s="13" t="n">
        <v>25</v>
      </c>
      <c r="B26" s="14" t="inlineStr">
        <is>
          <t>RFC 3411</t>
        </is>
      </c>
      <c r="C26" s="15" t="inlineStr">
        <is>
          <t>SNMP Architecture (Simple Network Management Protocol)</t>
        </is>
      </c>
      <c r="D26" s="13" t="inlineStr">
        <is>
          <t>管理・自動化</t>
        </is>
      </c>
      <c r="E26" s="21" t="inlineStr">
        <is>
          <t>中級</t>
        </is>
      </c>
      <c r="F26" s="13" t="inlineStr">
        <is>
          <t>アプリケーション層 (L7)</t>
        </is>
      </c>
      <c r="G26" s="17" t="inlineStr">
        <is>
          <t>ネットワーク機器の監視や制御を行うプロトコルであるSNMP（Simple Network Management Protocol）の全体アーキテクチャおよび共通フレームワークを定義した仕様。</t>
        </is>
      </c>
      <c r="H26" s="17" t="inlineStr">
        <is>
          <t>・管理システム（NMS）と監視対象（SNMPエージェント）の標準関係定義
・MIB（Management Information Base）構造およびデータモデル（SMIv2）の適用範囲規定
・SNMPv3以降に対応するセキュリティフレームワークおよびアクセス制御モデル（VACM）の基礎設計</t>
        </is>
      </c>
      <c r="I26" s="18" t="inlineStr">
        <is>
          <t>RFC 3412, RFC 3416</t>
        </is>
      </c>
      <c r="J26" s="17" t="inlineStr">
        <is>
          <t>Cisco: `snmp-server contact &lt;val&gt;`, `snmp-server location &lt;val&gt;`
Yamaha: `snmp host &lt;ip&gt;`</t>
        </is>
      </c>
    </row>
    <row r="27" ht="80" customHeight="1">
      <c r="A27" s="8" t="n">
        <v>26</v>
      </c>
      <c r="B27" s="9" t="inlineStr">
        <is>
          <t>RFC 3412</t>
        </is>
      </c>
      <c r="C27" s="7" t="inlineStr">
        <is>
          <t>SNMP Message Processing and Dispatching</t>
        </is>
      </c>
      <c r="D27" s="8" t="inlineStr">
        <is>
          <t>管理・自動化</t>
        </is>
      </c>
      <c r="E27" s="21" t="inlineStr">
        <is>
          <t>中級</t>
        </is>
      </c>
      <c r="F27" s="8" t="inlineStr">
        <is>
          <t>アプリケーション層 (L7)</t>
        </is>
      </c>
      <c r="G27" s="19" t="inlineStr">
        <is>
          <t>さまざまなバージョン（SNMPv1、v2c、v3）のメッセージを同一のアーキテクチャ上で処理・ディスパッチ（仕分け）するための共通メカニズムを規定。</t>
        </is>
      </c>
      <c r="H27" s="19" t="inlineStr">
        <is>
          <t>・メッセージ処理モデル（MPM）の概念設計による異バージョン混在環境のサポート
・受信パケットから対応するSNMPバージョンを判定し、適切なセキュリティ処理エンジンへ転送
・ディスパッチャーによるアプリケーション（Trap、Get、Set等）へのデータ配信制御</t>
        </is>
      </c>
      <c r="I27" s="20" t="inlineStr">
        <is>
          <t>RFC 3411, RFC 3416</t>
        </is>
      </c>
      <c r="J27" s="19" t="inlineStr">
        <is>
          <t>各社NMSツールでの複数バージョンメッセージの受信設計</t>
        </is>
      </c>
    </row>
    <row r="28" ht="80" customHeight="1">
      <c r="A28" s="13" t="n">
        <v>27</v>
      </c>
      <c r="B28" s="14" t="inlineStr">
        <is>
          <t>RFC 3416</t>
        </is>
      </c>
      <c r="C28" s="15" t="inlineStr">
        <is>
          <t>SNMPv2 Protocol Operations</t>
        </is>
      </c>
      <c r="D28" s="13" t="inlineStr">
        <is>
          <t>管理・自動化</t>
        </is>
      </c>
      <c r="E28" s="21" t="inlineStr">
        <is>
          <t>中級</t>
        </is>
      </c>
      <c r="F28" s="13" t="inlineStr">
        <is>
          <t>アプリケーション層 (L7)</t>
        </is>
      </c>
      <c r="G28" s="17" t="inlineStr">
        <is>
          <t>SNMPv2における通信プロトコル操作およびPDU（Protocol Data Unit）のフォーマットと動作を定義した基本仕様。</t>
        </is>
      </c>
      <c r="H28" s="17" t="inlineStr">
        <is>
          <t>・GetRequest, GetNextRequest, SetRequestによる基本的な値の読み書き処理
・`GetBulkRequest`の導入による、複数行にわたるMIBデータの一括高速取得（通信回数削減）
・`InformRequest`による、受信確認応答（ACK）を求める信頼性の高いトラップ通知機能
・応答コードのエラー値表現の細分化と正確性向上</t>
        </is>
      </c>
      <c r="I28" s="18" t="inlineStr">
        <is>
          <t>RFC 3411, RFC 3412</t>
        </is>
      </c>
      <c r="J28" s="17" t="inlineStr">
        <is>
          <t>Cisco: `snmp-server community &lt;string&gt; RO`
Fortinet: `config system snmp community`</t>
        </is>
      </c>
    </row>
    <row r="29" ht="80" customHeight="1">
      <c r="A29" s="8" t="n">
        <v>28</v>
      </c>
      <c r="B29" s="9" t="inlineStr">
        <is>
          <t>RFC 6241</t>
        </is>
      </c>
      <c r="C29" s="7" t="inlineStr">
        <is>
          <t>NETCONF Protocol (Network Configuration Protocol)</t>
        </is>
      </c>
      <c r="D29" s="8" t="inlineStr">
        <is>
          <t>管理・自動化</t>
        </is>
      </c>
      <c r="E29" s="22" t="inlineStr">
        <is>
          <t>上級</t>
        </is>
      </c>
      <c r="F29" s="8" t="inlineStr">
        <is>
          <t>アプリケーション層 (L7)</t>
        </is>
      </c>
      <c r="G29" s="19" t="inlineStr">
        <is>
          <t>XMLベースの構造化データを用いて、マルチベンダーのネットワーク機器の構成情報（設定）を安全に取得・変更・管理するためのIETF標準プロトコル。</t>
        </is>
      </c>
      <c r="H29" s="19" t="inlineStr">
        <is>
          <t>・設定用データベース（Running, Startup, Candidate）の厳格な分離と安全な仮適用（Candidate）
・トランザクション処理（設定変更のオール・オア・ナッシング、ロールバック機能）
・競合防止のための設定データベースのロックおよび解除（Lock/Unlock）メカニズム
・XMLベースのRPC（Remote Procedure Call）方式による双方向通信</t>
        </is>
      </c>
      <c r="I29" s="20" t="inlineStr">
        <is>
          <t>RFC 6242, RFC 7950, RFC 8040</t>
        </is>
      </c>
      <c r="J29" s="19" t="inlineStr">
        <is>
          <t>Cisco: `netconf-yang`
Juniper: `set system services netconf ssh`</t>
        </is>
      </c>
    </row>
    <row r="30" ht="80" customHeight="1">
      <c r="A30" s="13" t="n">
        <v>29</v>
      </c>
      <c r="B30" s="14" t="inlineStr">
        <is>
          <t>RFC 6242</t>
        </is>
      </c>
      <c r="C30" s="15" t="inlineStr">
        <is>
          <t>NETCONF over SSH</t>
        </is>
      </c>
      <c r="D30" s="13" t="inlineStr">
        <is>
          <t>管理・自動化</t>
        </is>
      </c>
      <c r="E30" s="22" t="inlineStr">
        <is>
          <t>上級</t>
        </is>
      </c>
      <c r="F30" s="13" t="inlineStr">
        <is>
          <t>アプリケーション層 (L7)</t>
        </is>
      </c>
      <c r="G30" s="17" t="inlineStr">
        <is>
          <t>NETCONFプロトコルのセキュアなトランスポート手段として、SSH（Secure Shell）接続上でNETCONFのセッションを確立するためのバインディング（接続手順）仕様。</t>
        </is>
      </c>
      <c r="H30" s="17" t="inlineStr">
        <is>
          <t>・SSHのコネクション確立とサブシステム（`netconf`サブシステム）の指定による専用通信の起動
・SSHが提供する強固な認証（鍵認証、パスワード認証）および暗号化、データ完全性保護の継承
・XMLストリームの終了を表すフレーミングデリミタ（`##` 等）の処理ルールの規定</t>
        </is>
      </c>
      <c r="I30" s="18" t="inlineStr">
        <is>
          <t>RFC 6241</t>
        </is>
      </c>
      <c r="J30" s="17" t="inlineStr">
        <is>
          <t>Cisco/Juniper: SSH経由でのNETCONF接続用ポート（通常 TCP 830）の通信許可と有効化</t>
        </is>
      </c>
    </row>
    <row r="31" ht="80" customHeight="1">
      <c r="A31" s="8" t="n">
        <v>30</v>
      </c>
      <c r="B31" s="9" t="inlineStr">
        <is>
          <t>RFC 7950</t>
        </is>
      </c>
      <c r="C31" s="7" t="inlineStr">
        <is>
          <t>YANG 1.1 Data Modeling Language</t>
        </is>
      </c>
      <c r="D31" s="8" t="inlineStr">
        <is>
          <t>管理・自動化</t>
        </is>
      </c>
      <c r="E31" s="22" t="inlineStr">
        <is>
          <t>上級</t>
        </is>
      </c>
      <c r="F31" s="8" t="inlineStr">
        <is>
          <t>抽象モデリング言語 (モデリング)</t>
        </is>
      </c>
      <c r="G31" s="19" t="inlineStr">
        <is>
          <t>NETCONFやRESTCONFなどのネットワーク管理プロトコルで送受信される設定データやステータス情報を構造的に定義するためのデータモデリング言語。</t>
        </is>
      </c>
      <c r="H31" s="19" t="inlineStr">
        <is>
          <t>・ネットワークトポロジーや機器設定を木構造（階層構造）でモデル化して定義
・データ型定義、制約条件（`must`, `when`, 値の範囲）の強力な記述サポート
・`augment`（他モジュールへの要素追加）や `deviation` による優れた拡張性
・XML（YINフォーマット）やJSONと1対1で完全に相互変換可能</t>
        </is>
      </c>
      <c r="I31" s="20" t="inlineStr">
        <is>
          <t>RFC 6241, RFC 8040</t>
        </is>
      </c>
      <c r="J31" s="19" t="inlineStr">
        <is>
          <t>ベンダー固有YANG（Cisco、Juniper等）および標準YANG（IETF、OpenConfig）の利用設計</t>
        </is>
      </c>
    </row>
    <row r="32" ht="80" customHeight="1">
      <c r="A32" s="13" t="n">
        <v>31</v>
      </c>
      <c r="B32" s="14" t="inlineStr">
        <is>
          <t>RFC 8040</t>
        </is>
      </c>
      <c r="C32" s="15" t="inlineStr">
        <is>
          <t>RESTCONF Protocol</t>
        </is>
      </c>
      <c r="D32" s="13" t="inlineStr">
        <is>
          <t>管理・自動化</t>
        </is>
      </c>
      <c r="E32" s="22" t="inlineStr">
        <is>
          <t>上級</t>
        </is>
      </c>
      <c r="F32" s="13" t="inlineStr">
        <is>
          <t>アプリケーション層 (L7)</t>
        </is>
      </c>
      <c r="G32" s="17" t="inlineStr">
        <is>
          <t>YANGで定義されたデータモデルに対して、Web標準技術であるHTTP（RESTful APIスタイル）とJSON/XMLを用いてアクセスし、設定の追加や変更を行う軽量な管理プロトコル。</t>
        </is>
      </c>
      <c r="H32" s="17" t="inlineStr">
        <is>
          <t>・HTTPメソッド（GET:読込, POST:作成, PUT:置換, PATCH:部分変更, DELETE:削除）によるCRUD操作
・URIパス構造とYANGデータモデルの階層の完全なマッピング設計
・JSONとXMLの両方をネイティブサポートし、WebブラウザやPython（requests）等から極めて容易に制御可能
・ステートレスで軽量なプロトコル設計による、コントローラー開発の容易化</t>
        </is>
      </c>
      <c r="I32" s="18" t="inlineStr">
        <is>
          <t>RFC 6241, RFC 7950</t>
        </is>
      </c>
      <c r="J32" s="17" t="inlineStr">
        <is>
          <t>Cisco: `restconf`
Juniper: `set system services restconf`</t>
        </is>
      </c>
    </row>
    <row r="33" ht="80" customHeight="1">
      <c r="A33" s="8" t="n">
        <v>32</v>
      </c>
      <c r="B33" s="9" t="inlineStr">
        <is>
          <t>RFC 2474</t>
        </is>
      </c>
      <c r="C33" s="7" t="inlineStr">
        <is>
          <t>Definition of the DS Field in IPv4 and IPv6 Headers (DiffServ Field)</t>
        </is>
      </c>
      <c r="D33" s="8" t="inlineStr">
        <is>
          <t>サービス・制御</t>
        </is>
      </c>
      <c r="E33" s="21" t="inlineStr">
        <is>
          <t>中級</t>
        </is>
      </c>
      <c r="F33" s="8" t="inlineStr">
        <is>
          <t>ネットワーク層 (L3)</t>
        </is>
      </c>
      <c r="G33" s="19" t="inlineStr">
        <is>
          <t>QoS（サービス品質）制御において、IPv4のToSフィールドおよびIPv6のTraffic Classフィールドを「DS（Differentiated Services）フィールド」として再定義し、パケット優先度（DSCP）を指定する仕様。</t>
        </is>
      </c>
      <c r="H33" s="19" t="inlineStr">
        <is>
          <t>・DSフィールド内の6ビットのDSCP（Differentiated Services Code Point）により最大64階層の細かい優先度表現
・残りの2ビットは明示的混雑通知（ECN）エリアとして確保
・標準優先度クラス（EF:最優先, AF:確実な配送, CS:旧仕様互換, BE:ベストエフォート）のコードマッピング規定</t>
        </is>
      </c>
      <c r="I33" s="20" t="inlineStr">
        <is>
          <t>RFC 2475</t>
        </is>
      </c>
      <c r="J33" s="19" t="inlineStr">
        <is>
          <t>Cisco: `class-map` -&gt; `policy-map` -&gt; `set ip dscp &lt;val&gt;`
Fortinet: トラフィックシェーピングにおけるDSCPマーキング</t>
        </is>
      </c>
    </row>
    <row r="34" ht="80" customHeight="1">
      <c r="A34" s="13" t="n">
        <v>33</v>
      </c>
      <c r="B34" s="14" t="inlineStr">
        <is>
          <t>RFC 2475</t>
        </is>
      </c>
      <c r="C34" s="15" t="inlineStr">
        <is>
          <t>Architecture for Differentiated Services (DiffServ Architecture)</t>
        </is>
      </c>
      <c r="D34" s="13" t="inlineStr">
        <is>
          <t>サービス・制御</t>
        </is>
      </c>
      <c r="E34" s="21" t="inlineStr">
        <is>
          <t>中級</t>
        </is>
      </c>
      <c r="F34" s="13" t="inlineStr">
        <is>
          <t>ネットワーク層 (L3)</t>
        </is>
      </c>
      <c r="G34" s="17" t="inlineStr">
        <is>
          <t>パケット単位の優先度制御を行うことで、スケーラブルなQoS制御を実現するDiffServ（ディフサーブ）ネットワークの全体的な構造・ポリシー制御モデルを規定。</t>
        </is>
      </c>
      <c r="H34" s="17" t="inlineStr">
        <is>
          <t>・ドメインエッジにおけるパケットの分類（Classification）、メーター（Metering）、マーキング（Marking）処理
・ドメイン内部のコアルーターにおける、DSCP値に基づいたホップ毎の転送動作（PHB: Per-Hop Behavior）実行
・IntServ（個別パス帯域予約）に比べ、状態管理をコア内で排除した極めて優れたスケールアウト性能</t>
        </is>
      </c>
      <c r="I34" s="18" t="inlineStr">
        <is>
          <t>RFC 2474</t>
        </is>
      </c>
      <c r="J34" s="17" t="inlineStr">
        <is>
          <t>大規模WAN・社内イントラネットにおけるQoSポリシーポリシーおよびシェーピング・キューイング設計</t>
        </is>
      </c>
    </row>
    <row r="35" ht="80" customHeight="1">
      <c r="A35" s="8" t="n">
        <v>34</v>
      </c>
      <c r="B35" s="9" t="inlineStr">
        <is>
          <t>RFC 4301</t>
        </is>
      </c>
      <c r="C35" s="7" t="inlineStr">
        <is>
          <t>Security Architecture for the Internet Protocol (IPsec Architecture)</t>
        </is>
      </c>
      <c r="D35" s="8" t="inlineStr">
        <is>
          <t>セキュリティ</t>
        </is>
      </c>
      <c r="E35" s="21" t="inlineStr">
        <is>
          <t>中級</t>
        </is>
      </c>
      <c r="F35" s="8" t="inlineStr">
        <is>
          <t>ネットワーク層 (L3)</t>
        </is>
      </c>
      <c r="G35" s="19" t="inlineStr">
        <is>
          <t>インターネット上でデータを安全に暗号化・保護して送受信するためのIPsec（IP Security）技術の全体的なセキュリティアーキテクチャ定義。</t>
        </is>
      </c>
      <c r="H35" s="19" t="inlineStr">
        <is>
          <t>・提供セキュリティサービス：機密性、整合性、データ元認証、リプレイ攻撃防御
・SPD（Security Policy Database）による「どのパケットをIPsec保護するか」のルール判定
・SAD（Security Association Database）による暗号鍵や処理プロトコル（ESP/AH）の状態管理
・拠点間接続向けの「トンネルモード」と、エンドツーエンド暗号化向けの「トランスポートモード」の定義</t>
        </is>
      </c>
      <c r="I35" s="20" t="inlineStr">
        <is>
          <t>RFC 4303, RFC 5246</t>
        </is>
      </c>
      <c r="J35" s="19" t="inlineStr">
        <is>
          <t>Cisco: `crypto ipsec profile &lt;profile&gt;`
Fortinet: `config vpn ipsec phase1-interface` / `phase2-interface`
Yamaha: `ipsec tunnel 1`</t>
        </is>
      </c>
    </row>
    <row r="36" ht="80" customHeight="1">
      <c r="A36" s="13" t="n">
        <v>35</v>
      </c>
      <c r="B36" s="14" t="inlineStr">
        <is>
          <t>RFC 4303</t>
        </is>
      </c>
      <c r="C36" s="15" t="inlineStr">
        <is>
          <t>IP Encapsulating Security Payload (ESP)</t>
        </is>
      </c>
      <c r="D36" s="13" t="inlineStr">
        <is>
          <t>セキュリティ</t>
        </is>
      </c>
      <c r="E36" s="21" t="inlineStr">
        <is>
          <t>中級</t>
        </is>
      </c>
      <c r="F36" s="13" t="inlineStr">
        <is>
          <t>ネットワーク層 (L3)</t>
        </is>
      </c>
      <c r="G36" s="17" t="inlineStr">
        <is>
          <t>IPsecで使用される中核プロトコルの一つで、暗号化による「データの機密性」および「送信元認証・データ完全性」を提供するためのパケット構造および動作仕様。</t>
        </is>
      </c>
      <c r="H36" s="17" t="inlineStr">
        <is>
          <t>・暗号化ペイロード部分による送信データの完全な隠蔽（盗聴防止）
・ESP認証データテイル（Authentication Data）によるパケット改ざん検知
・SPI（Security Parameter Index）による複数のSAの中から対応する鍵情報の高速選択
・シーケンス番号を用いたパケット重複・順序入れ替えを利用したリプレイ攻撃の完全遮断</t>
        </is>
      </c>
      <c r="I36" s="18" t="inlineStr">
        <is>
          <t>RFC 4301</t>
        </is>
      </c>
      <c r="J36" s="17" t="inlineStr">
        <is>
          <t>Cisco: `crypto ipsec transform-set &lt;set&gt; esp-aes &lt;bits&gt; esp-sha-hmac`
Yamaha: `ipsec ike payload 1 esp-aes-cbc sha-hmac`</t>
        </is>
      </c>
    </row>
    <row r="37" ht="80" customHeight="1">
      <c r="A37" s="8" t="n">
        <v>36</v>
      </c>
      <c r="B37" s="9" t="inlineStr">
        <is>
          <t>RFC 5246</t>
        </is>
      </c>
      <c r="C37" s="7" t="inlineStr">
        <is>
          <t>The Transport Layer Security Protocol Version 1.2 (TLS 1.2)</t>
        </is>
      </c>
      <c r="D37" s="8" t="inlineStr">
        <is>
          <t>セキュリティ</t>
        </is>
      </c>
      <c r="E37" s="21" t="inlineStr">
        <is>
          <t>中級</t>
        </is>
      </c>
      <c r="F37" s="8" t="inlineStr">
        <is>
          <t>トランスポート層とアプリケーション層の中間 (L5.5)</t>
        </is>
      </c>
      <c r="G37" s="19" t="inlineStr">
        <is>
          <t>インターネット上のアプリケーション通信を暗号化・保護し、盗聴や改ざんを防ぐためのTLS 1.2プロトコルの基本仕様。</t>
        </is>
      </c>
      <c r="H37" s="19" t="inlineStr">
        <is>
          <t>・ハンドシェイクプロトコルによる対向ノードの認証、暗号アルゴリズム（暗号スイート）交渉、鍵交換の実行
・レコードプロトコルによる、ネゴシエーションされた共通鍵を用いたデータ暗号化と完全性保護
・SHA-256ハッシュ関数を用いたPRF（擬似乱数関数）による強固な鍵生成アルゴリズムの適用
・拡張ヘッダー（SNI等）による、単一IP上での複数証明書の安全なホスティング対応</t>
        </is>
      </c>
      <c r="I37" s="20" t="inlineStr">
        <is>
          <t>RFC 8446</t>
        </is>
      </c>
      <c r="J37" s="19" t="inlineStr">
        <is>
          <t>Cisco: `ip http secure-server`
Fortinet: SSL-VPNゲートウェイ設定、ファイアウォールでのSSLインスペクション設計</t>
        </is>
      </c>
    </row>
    <row r="38" ht="80" customHeight="1">
      <c r="A38" s="13" t="n">
        <v>37</v>
      </c>
      <c r="B38" s="14" t="inlineStr">
        <is>
          <t>RFC 8446</t>
        </is>
      </c>
      <c r="C38" s="15" t="inlineStr">
        <is>
          <t>The Transport Layer Security Protocol Version 1.3 (TLS 1.3)</t>
        </is>
      </c>
      <c r="D38" s="13" t="inlineStr">
        <is>
          <t>セキュリティ</t>
        </is>
      </c>
      <c r="E38" s="21" t="inlineStr">
        <is>
          <t>中級</t>
        </is>
      </c>
      <c r="F38" s="13" t="inlineStr">
        <is>
          <t>トランスポート層とアプリケーション層の中間 (L5.5)</t>
        </is>
      </c>
      <c r="G38" s="17" t="inlineStr">
        <is>
          <t>2018年にリリースされた、TLS 1.2からセキュリティ強度を大幅に高め、接続確立時の遅延（レイテンシ）を削減した最新のTLSプロトコル標準仕様。</t>
        </is>
      </c>
      <c r="H38" s="17" t="inlineStr">
        <is>
          <t>・ハンドシェイクの往復回数を1回（1-RTT）に短縮し、接続開始スピードを劇的に改善
・接続再開時に往復ゼロでデータを暗号送信する「0-RTT」モードのサポート
・脆弱または非推奨の古い暗号アルゴリズム（RC4, 3DES, AES-CBC, SHA-1）の完全廃止
・ハンドシェイク初期段階からのサーバー証明書の暗号化による、接続ドメイン等のプライバシー保護</t>
        </is>
      </c>
      <c r="I38" s="18" t="inlineStr">
        <is>
          <t>RFC 5246</t>
        </is>
      </c>
      <c r="J38" s="17" t="inlineStr">
        <is>
          <t>最新ファームウェア搭載ロードバランサー（F5等）およびFortiGate等の次世代SSL復号・防御設計</t>
        </is>
      </c>
    </row>
    <row r="39" ht="80" customHeight="1">
      <c r="A39" s="8" t="n">
        <v>38</v>
      </c>
      <c r="B39" s="9" t="inlineStr">
        <is>
          <t>RFC 5880</t>
        </is>
      </c>
      <c r="C39" s="7" t="inlineStr">
        <is>
          <t>Bidirectional Forwarding Detection (BFD)</t>
        </is>
      </c>
      <c r="D39" s="8" t="inlineStr">
        <is>
          <t>サービス・制御</t>
        </is>
      </c>
      <c r="E39" s="21" t="inlineStr">
        <is>
          <t>中級</t>
        </is>
      </c>
      <c r="F39" s="8" t="inlineStr">
        <is>
          <t>ネットワーク層 (L3)</t>
        </is>
      </c>
      <c r="G39" s="19" t="inlineStr">
        <is>
          <t>隣接機器との間における「パケット双方向通信」が正常に行われているかを、極めて短いミリ秒（ms）単位の周期で検出し、障害を瞬時にルーティングプロトコル等に通知するためのプロトコル。</t>
        </is>
      </c>
      <c r="H39" s="19" t="inlineStr">
        <is>
          <t>・物理メディアやプロトコル（Ethernet、光、トンネル等）に依存しない統一の超高速検知設計
・ミリ秒単位（例: 50ms間隔、3回無応答で判定）の超短期間キープアライブ制御
・動的ルーティングプロトコル（OSPF、BGP）や冗長化プロトコル（VRRP）のタイマー（秒単位）に代わる高速トリガー</t>
        </is>
      </c>
      <c r="I39" s="20" t="inlineStr">
        <is>
          <t>RFC 5881, RFC 2328, RFC 4271</t>
        </is>
      </c>
      <c r="J39" s="19" t="inlineStr">
        <is>
          <t>Cisco: `bfd interval 50 min_rx 50 multiplier 3` -&gt; `router bgp` -&gt; `neighbor &lt;ip&gt; fall-over bfd`
Fortinet: `config router bfd` -&gt; `edit &lt;intf&gt;`
Juniper: `set protocols bgp neighbor &lt;ip&gt; bfd-liveness`</t>
        </is>
      </c>
    </row>
    <row r="40" ht="80" customHeight="1">
      <c r="A40" s="13" t="n">
        <v>39</v>
      </c>
      <c r="B40" s="14" t="inlineStr">
        <is>
          <t>RFC 5881</t>
        </is>
      </c>
      <c r="C40" s="15" t="inlineStr">
        <is>
          <t>Bidirectional Forwarding Detection (BFD) for IPv4 and IPv6 (Single Hop)</t>
        </is>
      </c>
      <c r="D40" s="13" t="inlineStr">
        <is>
          <t>サービス・制御</t>
        </is>
      </c>
      <c r="E40" s="21" t="inlineStr">
        <is>
          <t>中級</t>
        </is>
      </c>
      <c r="F40" s="13" t="inlineStr">
        <is>
          <t>ネットワーク層 (L3)</t>
        </is>
      </c>
      <c r="G40" s="17" t="inlineStr">
        <is>
          <t>RFC 5880で定義されたBFDを、IPv4またはIPv6のシングルホップ（直接接続されたネイバー間）通信に適用するための具体的なカプセル化方法およびポート定義。</t>
        </is>
      </c>
      <c r="H40" s="17" t="inlineStr">
        <is>
          <t>・UDPポート3784（コントロール用）および3785（エコーパケット用）の割り当て規定
・IPパケットのTTL（Time to Live）またはHop Limitの値を「255」に固定強制するGTSMセキュリティ保護
・シングルホップ環境での物理直結インターフェースエラー連携と高速同期の保証</t>
        </is>
      </c>
      <c r="I40" s="18" t="inlineStr">
        <is>
          <t>RFC 5880, RFC 791, RFC 8200</t>
        </is>
      </c>
      <c r="J40" s="17" t="inlineStr">
        <is>
          <t>Cisco: `ip route static &lt;prefix&gt; &lt;next-hop&gt; bfd`
Juniper: `set routing-options static route &lt;pfx&gt; next-hop &lt;ip&gt; bfd-liveness`</t>
        </is>
      </c>
    </row>
    <row r="41" ht="80" customHeight="1">
      <c r="A41" s="8" t="n">
        <v>40</v>
      </c>
      <c r="B41" s="9" t="inlineStr">
        <is>
          <t>RFC 5905</t>
        </is>
      </c>
      <c r="C41" s="7" t="inlineStr">
        <is>
          <t>Network Time Protocol Version 4 (NTPv4)</t>
        </is>
      </c>
      <c r="D41" s="8" t="inlineStr">
        <is>
          <t>サービス・制御</t>
        </is>
      </c>
      <c r="E41" s="16" t="inlineStr">
        <is>
          <t>初級</t>
        </is>
      </c>
      <c r="F41" s="8" t="inlineStr">
        <is>
          <t>アプリケーション層 (L7)</t>
        </is>
      </c>
      <c r="G41" s="19" t="inlineStr">
        <is>
          <t>ネットワーク上の機器同士でミリ秒以下の精度で時計を同期させ、正確な日時を共有するための時間同期プロトコル。</t>
        </is>
      </c>
      <c r="H41" s="19" t="inlineStr">
        <is>
          <t>・階層構造（Stratum 1～15、16は同期未確立）によるタイムサーバー信頼ツリーの形成
・ジッター、ワンウェイ遅延、温度変化による時計誤差（放浪時間）を補正する高度な動的統計フィルタアルゴリズム
・認証鍵ペア（MD5/SHA-1等）を用いた同期元サーバーのなりすまし防止・セキュリティ機能の確保
・IPv4とIPv6の双方に対するネイティブ対応</t>
        </is>
      </c>
      <c r="I41" s="20" t="inlineStr">
        <is>
          <t>RFC 791, RFC 8200</t>
        </is>
      </c>
      <c r="J41" s="19" t="inlineStr">
        <is>
          <t>Cisco: `ntp server &lt;ip&gt; prefer`, `ntp source &lt;interface&gt;`
Yamaha: `ntp date &lt;ip&gt;`
Fortinet: `config system ntp`</t>
        </is>
      </c>
    </row>
    <row r="42" ht="80" customHeight="1">
      <c r="A42" s="13" t="n">
        <v>41</v>
      </c>
      <c r="B42" s="14" t="inlineStr">
        <is>
          <t>RFC 1034</t>
        </is>
      </c>
      <c r="C42" s="15" t="inlineStr">
        <is>
          <t>Domain Names - Concepts and Facilities (DNS Concepts)</t>
        </is>
      </c>
      <c r="D42" s="13" t="inlineStr">
        <is>
          <t>サービス・制御</t>
        </is>
      </c>
      <c r="E42" s="16" t="inlineStr">
        <is>
          <t>初級</t>
        </is>
      </c>
      <c r="F42" s="13" t="inlineStr">
        <is>
          <t>アプリケーション層 (L7)</t>
        </is>
      </c>
      <c r="G42" s="17" t="inlineStr">
        <is>
          <t>ドメイン名をIPアドレスに（あるいはその逆に）変換する、階層的で分散型の名前解決システムであるDNSの基本コンセプトを説明した歴史的標準仕様。</t>
        </is>
      </c>
      <c r="H42" s="17" t="inlineStr">
        <is>
          <t>・ツリー構造の論理ネームスペース（`.` ルートを頂点とする階層）の設計定義
・ゾーン（Zone）と管理の委任（Delegation）による管理権限の分散モデル規定
・名前解決要求を出すクライアント（Resolver）と応答するサーバー（Name Server）の役割設計
・名前解決クエリの再帰的（Recursive）および反復的（Iterative）検索モデルの規定</t>
        </is>
      </c>
      <c r="I42" s="18" t="inlineStr">
        <is>
          <t>RFC 1035</t>
        </is>
      </c>
      <c r="J42" s="17" t="inlineStr">
        <is>
          <t>DNSネームスペース設計、Active Directory等のDNS要件定義</t>
        </is>
      </c>
    </row>
    <row r="43" ht="80" customHeight="1">
      <c r="A43" s="8" t="n">
        <v>42</v>
      </c>
      <c r="B43" s="9" t="inlineStr">
        <is>
          <t>RFC 1035</t>
        </is>
      </c>
      <c r="C43" s="7" t="inlineStr">
        <is>
          <t>Domain Names - Implementation and Specification (DNS Implementation)</t>
        </is>
      </c>
      <c r="D43" s="8" t="inlineStr">
        <is>
          <t>サービス・制御</t>
        </is>
      </c>
      <c r="E43" s="16" t="inlineStr">
        <is>
          <t>初級</t>
        </is>
      </c>
      <c r="F43" s="8" t="inlineStr">
        <is>
          <t>アプリケーション層 (L7)</t>
        </is>
      </c>
      <c r="G43" s="19" t="inlineStr">
        <is>
          <t>RFC 1034のコンセプトに基づき、DNSパケットのメッセージフォーマット、通信規約、リソースレコードの種類、サーバーの動作メカニズムを定義した実装仕様。</t>
        </is>
      </c>
      <c r="H43" s="19" t="inlineStr">
        <is>
          <t>・UDPおよびTCPのポート53を使用する通信メッセージヘッダー構造の厳密な定義
・代表的なリソースレコード（A, AAAA, MX, NS, CNAME, SOA, PTR等）のバイナリ表現と役割指定
・ゾーンファイルの標準表記フォーマット（ゾーンデータ編集用の記述様式）の規定
・信頼性確保のためのプライマリ・セカンダリDNSサーバー間のゾーン転送プロトコルの定義</t>
        </is>
      </c>
      <c r="I43" s="20" t="inlineStr">
        <is>
          <t>RFC 1034</t>
        </is>
      </c>
      <c r="J43" s="19" t="inlineStr">
        <is>
          <t>Cisco: `ip name-server &lt;ip&gt;`, `ip domain-lookup`
Yamaha: `dns server &lt;ip&gt;`
Fortinet: `config system dns`</t>
        </is>
      </c>
    </row>
    <row r="44" ht="80" customHeight="1">
      <c r="A44" s="13" t="n">
        <v>43</v>
      </c>
      <c r="B44" s="14" t="inlineStr">
        <is>
          <t>RFC 2131</t>
        </is>
      </c>
      <c r="C44" s="15" t="inlineStr">
        <is>
          <t>Dynamic Host Configuration Protocol (DHCP)</t>
        </is>
      </c>
      <c r="D44" s="13" t="inlineStr">
        <is>
          <t>サービス・制御</t>
        </is>
      </c>
      <c r="E44" s="16" t="inlineStr">
        <is>
          <t>初級</t>
        </is>
      </c>
      <c r="F44" s="13" t="inlineStr">
        <is>
          <t>アプリケーション層 (L7)</t>
        </is>
      </c>
      <c r="G44" s="17" t="inlineStr">
        <is>
          <t>ネットワーク内のクライアント端末に対して、IPアドレス、サブネットマスク、デフォルトゲートウェイ、DNSサーバーなどのネットワーク設定情報を自動的に割り当てるプロトコル。</t>
        </is>
      </c>
      <c r="H44" s="17" t="inlineStr">
        <is>
          <t>・IPアドレスのリース（貸出）期間の定義と、自動延長（更新）シーケンスの規定
・DHCP通信シーケンス（DISCOVER -&gt; OFFER -&gt; REQUEST -&gt; ACK）による非接続端末へのアドレス配布
・DHCPリレーエージェント機能による、ルーターを越えた別サブネット上のDHCPサーバーとの中継通信サポート
・重複アドレスの割り当てを防ぐARP確認およびリースデータベースによる整合性維持</t>
        </is>
      </c>
      <c r="I44" s="18" t="inlineStr">
        <is>
          <t>RFC 791</t>
        </is>
      </c>
      <c r="J44" s="17" t="inlineStr">
        <is>
          <t>Cisco: `ip dhcp pool &lt;pool-name&gt;` -&gt; `network &lt;net&gt;` -&gt; `default-router &lt;gw&gt;` / `ip helper-address &lt;ip&gt;` (リレー)
Yamaha: `dhcp scope 1 &lt;ip&gt;-&lt;ip&gt;/&lt;bit&gt;` / `dhcp service server`</t>
        </is>
      </c>
    </row>
  </sheetData>
  <autoFilter ref="A1:J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2026-05-24T05:58:56Z</dcterms:created>
  <dcterms:modified xmlns:dcterms="http://purl.org/dc/terms/" xmlns:xsi="http://www.w3.org/2001/XMLSchema-instance" xsi:type="dcterms:W3CDTF">2026-05-24T05:58:56Z</dcterms:modified>
</cp:coreProperties>
</file>